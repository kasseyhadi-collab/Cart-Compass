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Stores" sheetId="2" r:id="rId5"/>
    <sheet state="visible" name="Prices" sheetId="3" r:id="rId6"/>
    <sheet state="visible" name="Dashboard" sheetId="4" r:id="rId7"/>
    <sheet state="visible" name="Dashboard_Auto" sheetId="5" r:id="rId8"/>
  </sheets>
  <definedNames/>
  <calcPr/>
  <extLst>
    <ext uri="GoogleSheetsCustomDataVersion2">
      <go:sheetsCustomData xmlns:go="http://customooxmlschemas.google.com/" r:id="rId9" roundtripDataChecksum="N76tTM8Ja5B90qjFOEfWro2t1yJksxbdOVcQcIsQyYQ="/>
    </ext>
  </extLst>
</workbook>
</file>

<file path=xl/sharedStrings.xml><?xml version="1.0" encoding="utf-8"?>
<sst xmlns="http://schemas.openxmlformats.org/spreadsheetml/2006/main" count="668" uniqueCount="128">
  <si>
    <t>ProductID</t>
  </si>
  <si>
    <t>ProductName</t>
  </si>
  <si>
    <t>Category</t>
  </si>
  <si>
    <t>UnitSize</t>
  </si>
  <si>
    <t>UnitType</t>
  </si>
  <si>
    <t>BaseUnit</t>
  </si>
  <si>
    <t>Active</t>
  </si>
  <si>
    <t>Brand</t>
  </si>
  <si>
    <t>P001</t>
  </si>
  <si>
    <t>Milk</t>
  </si>
  <si>
    <t>Dairy</t>
  </si>
  <si>
    <t>Gallon</t>
  </si>
  <si>
    <t>gallon</t>
  </si>
  <si>
    <t>Generic</t>
  </si>
  <si>
    <t>P002</t>
  </si>
  <si>
    <t>Eggs</t>
  </si>
  <si>
    <t>Count</t>
  </si>
  <si>
    <t>egg</t>
  </si>
  <si>
    <t>P003</t>
  </si>
  <si>
    <t>Butter</t>
  </si>
  <si>
    <t>Pound</t>
  </si>
  <si>
    <t>lb</t>
  </si>
  <si>
    <t>P004</t>
  </si>
  <si>
    <t>Cheddar Cheese</t>
  </si>
  <si>
    <t>Ounce</t>
  </si>
  <si>
    <t>P005</t>
  </si>
  <si>
    <t>Greek Yogurt</t>
  </si>
  <si>
    <t>oz</t>
  </si>
  <si>
    <t>P006</t>
  </si>
  <si>
    <t>White Bread</t>
  </si>
  <si>
    <t>Bakery</t>
  </si>
  <si>
    <t>P007</t>
  </si>
  <si>
    <t>Wheat Bread</t>
  </si>
  <si>
    <t>P008</t>
  </si>
  <si>
    <t>Hamburger Buns</t>
  </si>
  <si>
    <t>count</t>
  </si>
  <si>
    <t>P009</t>
  </si>
  <si>
    <t>Bananas</t>
  </si>
  <si>
    <t>Produce</t>
  </si>
  <si>
    <t>P010</t>
  </si>
  <si>
    <t>Gala Apples</t>
  </si>
  <si>
    <t>P011</t>
  </si>
  <si>
    <t>Avocados</t>
  </si>
  <si>
    <t>Each</t>
  </si>
  <si>
    <t>each</t>
  </si>
  <si>
    <t>P012</t>
  </si>
  <si>
    <t>Tomatoes</t>
  </si>
  <si>
    <t>P013</t>
  </si>
  <si>
    <t>Lettuce</t>
  </si>
  <si>
    <t>Head</t>
  </si>
  <si>
    <t>head</t>
  </si>
  <si>
    <t>P014</t>
  </si>
  <si>
    <t>Yellow Onions</t>
  </si>
  <si>
    <t>P015</t>
  </si>
  <si>
    <t>Chicken Breast</t>
  </si>
  <si>
    <t>Meat</t>
  </si>
  <si>
    <t>P016</t>
  </si>
  <si>
    <t>Ground Beef 80/20</t>
  </si>
  <si>
    <t>P017</t>
  </si>
  <si>
    <t>Bacon</t>
  </si>
  <si>
    <t>P018</t>
  </si>
  <si>
    <t>Deli Turkey</t>
  </si>
  <si>
    <t>P019</t>
  </si>
  <si>
    <t>White Rice</t>
  </si>
  <si>
    <t>Pantry</t>
  </si>
  <si>
    <t>P020</t>
  </si>
  <si>
    <t>Spaghetti</t>
  </si>
  <si>
    <t>P021</t>
  </si>
  <si>
    <t>Peanut Butter</t>
  </si>
  <si>
    <t>P022</t>
  </si>
  <si>
    <t>Strawberry Jam</t>
  </si>
  <si>
    <t>P023</t>
  </si>
  <si>
    <t>Canned Tuna</t>
  </si>
  <si>
    <t>P024</t>
  </si>
  <si>
    <t>Chicken Noodle Soup</t>
  </si>
  <si>
    <t>P025</t>
  </si>
  <si>
    <t>Coca-Cola</t>
  </si>
  <si>
    <t>Beverage</t>
  </si>
  <si>
    <t>Pack</t>
  </si>
  <si>
    <t>P026</t>
  </si>
  <si>
    <t>Pepsi</t>
  </si>
  <si>
    <t>can</t>
  </si>
  <si>
    <t>P027</t>
  </si>
  <si>
    <t>Bottled Water</t>
  </si>
  <si>
    <t>P028</t>
  </si>
  <si>
    <t>Ground Coffee</t>
  </si>
  <si>
    <t>P029</t>
  </si>
  <si>
    <t>Paper Towels</t>
  </si>
  <si>
    <t>Household</t>
  </si>
  <si>
    <t>Roll</t>
  </si>
  <si>
    <t>roll</t>
  </si>
  <si>
    <t>P030</t>
  </si>
  <si>
    <t>Toilet Paper</t>
  </si>
  <si>
    <t>StoreID</t>
  </si>
  <si>
    <t>StoreName</t>
  </si>
  <si>
    <t>City</t>
  </si>
  <si>
    <t>State</t>
  </si>
  <si>
    <t>S001</t>
  </si>
  <si>
    <t>Fry's</t>
  </si>
  <si>
    <t>Chandler</t>
  </si>
  <si>
    <t>AZ</t>
  </si>
  <si>
    <t>S002</t>
  </si>
  <si>
    <t>Walmart</t>
  </si>
  <si>
    <t>S003</t>
  </si>
  <si>
    <t>Safeway</t>
  </si>
  <si>
    <t>S004</t>
  </si>
  <si>
    <t>Albertsons</t>
  </si>
  <si>
    <t>Price</t>
  </si>
  <si>
    <t>PackageSize</t>
  </si>
  <si>
    <t>StartDate</t>
  </si>
  <si>
    <t>EndDate</t>
  </si>
  <si>
    <t>PromoType</t>
  </si>
  <si>
    <t>LoyaltyRequired</t>
  </si>
  <si>
    <t>Notes</t>
  </si>
  <si>
    <t>UnitPrice</t>
  </si>
  <si>
    <t>LastUpdated</t>
  </si>
  <si>
    <t>2026-06-04</t>
  </si>
  <si>
    <t xml:space="preserve"> </t>
  </si>
  <si>
    <t>CartCompass MVP Dashboard</t>
  </si>
  <si>
    <t>Metric</t>
  </si>
  <si>
    <t>Value</t>
  </si>
  <si>
    <t>Products Compared</t>
  </si>
  <si>
    <t>Stores Compared</t>
  </si>
  <si>
    <t>Status</t>
  </si>
  <si>
    <t>Fry's + Walmart Loaded</t>
  </si>
  <si>
    <t>Product</t>
  </si>
  <si>
    <t>Winner</t>
  </si>
  <si>
    <t>CartCompass Automated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</si>
</sst>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8</v>
      </c>
      <c r="B2" s="1" t="s">
        <v>9</v>
      </c>
      <c r="C2" s="1" t="s">
        <v>10</v>
      </c>
      <c r="D2" s="1">
        <v>1.0</v>
      </c>
      <c r="E2" s="1" t="s">
        <v>11</v>
      </c>
      <c r="F2" s="2" t="s">
        <v>12</v>
      </c>
      <c r="G2" s="1" t="b">
        <v>1</v>
      </c>
      <c r="H2" s="2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14</v>
      </c>
      <c r="B3" s="1" t="s">
        <v>15</v>
      </c>
      <c r="C3" s="1" t="s">
        <v>10</v>
      </c>
      <c r="D3" s="1">
        <v>12.0</v>
      </c>
      <c r="E3" s="1" t="s">
        <v>16</v>
      </c>
      <c r="F3" s="2" t="s">
        <v>17</v>
      </c>
      <c r="G3" s="1" t="b">
        <v>1</v>
      </c>
      <c r="H3" s="2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18</v>
      </c>
      <c r="B4" s="1" t="s">
        <v>19</v>
      </c>
      <c r="C4" s="1" t="s">
        <v>10</v>
      </c>
      <c r="D4" s="1">
        <v>1.0</v>
      </c>
      <c r="E4" s="1" t="s">
        <v>20</v>
      </c>
      <c r="F4" s="2" t="s">
        <v>21</v>
      </c>
      <c r="G4" s="1" t="b">
        <v>1</v>
      </c>
      <c r="H4" s="2" t="s">
        <v>13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22</v>
      </c>
      <c r="B5" s="1" t="s">
        <v>23</v>
      </c>
      <c r="C5" s="1" t="s">
        <v>10</v>
      </c>
      <c r="D5" s="1">
        <v>16.0</v>
      </c>
      <c r="E5" s="1" t="s">
        <v>24</v>
      </c>
      <c r="F5" s="2" t="s">
        <v>21</v>
      </c>
      <c r="G5" s="1" t="b">
        <v>1</v>
      </c>
      <c r="H5" s="2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25</v>
      </c>
      <c r="B6" s="1" t="s">
        <v>26</v>
      </c>
      <c r="C6" s="1" t="s">
        <v>10</v>
      </c>
      <c r="D6" s="1">
        <v>32.0</v>
      </c>
      <c r="E6" s="1" t="s">
        <v>24</v>
      </c>
      <c r="F6" s="2" t="s">
        <v>27</v>
      </c>
      <c r="G6" s="1" t="b">
        <v>1</v>
      </c>
      <c r="H6" s="2" t="s">
        <v>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28</v>
      </c>
      <c r="B7" s="1" t="s">
        <v>29</v>
      </c>
      <c r="C7" s="1" t="s">
        <v>30</v>
      </c>
      <c r="D7" s="1">
        <v>20.0</v>
      </c>
      <c r="E7" s="1" t="s">
        <v>24</v>
      </c>
      <c r="F7" s="2" t="s">
        <v>27</v>
      </c>
      <c r="G7" s="1" t="b">
        <v>1</v>
      </c>
      <c r="H7" s="2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31</v>
      </c>
      <c r="B8" s="1" t="s">
        <v>32</v>
      </c>
      <c r="C8" s="1" t="s">
        <v>30</v>
      </c>
      <c r="D8" s="1">
        <v>20.0</v>
      </c>
      <c r="E8" s="1" t="s">
        <v>24</v>
      </c>
      <c r="F8" s="2" t="s">
        <v>27</v>
      </c>
      <c r="G8" s="1" t="b">
        <v>1</v>
      </c>
      <c r="H8" s="2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33</v>
      </c>
      <c r="B9" s="1" t="s">
        <v>34</v>
      </c>
      <c r="C9" s="1" t="s">
        <v>30</v>
      </c>
      <c r="D9" s="1">
        <v>8.0</v>
      </c>
      <c r="E9" s="1" t="s">
        <v>16</v>
      </c>
      <c r="F9" s="2" t="s">
        <v>35</v>
      </c>
      <c r="G9" s="1" t="b">
        <v>1</v>
      </c>
      <c r="H9" s="2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36</v>
      </c>
      <c r="B10" s="1" t="s">
        <v>37</v>
      </c>
      <c r="C10" s="1" t="s">
        <v>38</v>
      </c>
      <c r="D10" s="1">
        <v>1.0</v>
      </c>
      <c r="E10" s="1" t="s">
        <v>20</v>
      </c>
      <c r="F10" s="2" t="s">
        <v>21</v>
      </c>
      <c r="G10" s="1" t="b">
        <v>1</v>
      </c>
      <c r="H10" s="2" t="s">
        <v>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39</v>
      </c>
      <c r="B11" s="1" t="s">
        <v>40</v>
      </c>
      <c r="C11" s="1" t="s">
        <v>38</v>
      </c>
      <c r="D11" s="1">
        <v>1.0</v>
      </c>
      <c r="E11" s="1" t="s">
        <v>20</v>
      </c>
      <c r="F11" s="2" t="s">
        <v>21</v>
      </c>
      <c r="G11" s="1" t="b">
        <v>1</v>
      </c>
      <c r="H11" s="2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41</v>
      </c>
      <c r="B12" s="1" t="s">
        <v>42</v>
      </c>
      <c r="C12" s="1" t="s">
        <v>38</v>
      </c>
      <c r="D12" s="1">
        <v>1.0</v>
      </c>
      <c r="E12" s="1" t="s">
        <v>43</v>
      </c>
      <c r="F12" s="2" t="s">
        <v>44</v>
      </c>
      <c r="G12" s="1" t="b">
        <v>1</v>
      </c>
      <c r="H12" s="2" t="s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45</v>
      </c>
      <c r="B13" s="1" t="s">
        <v>46</v>
      </c>
      <c r="C13" s="1" t="s">
        <v>38</v>
      </c>
      <c r="D13" s="1">
        <v>1.0</v>
      </c>
      <c r="E13" s="1" t="s">
        <v>20</v>
      </c>
      <c r="F13" s="2" t="s">
        <v>21</v>
      </c>
      <c r="G13" s="1" t="b">
        <v>1</v>
      </c>
      <c r="H13" s="2" t="s">
        <v>13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47</v>
      </c>
      <c r="B14" s="1" t="s">
        <v>48</v>
      </c>
      <c r="C14" s="1" t="s">
        <v>38</v>
      </c>
      <c r="D14" s="1">
        <v>1.0</v>
      </c>
      <c r="E14" s="1" t="s">
        <v>49</v>
      </c>
      <c r="F14" s="2" t="s">
        <v>50</v>
      </c>
      <c r="G14" s="1" t="b">
        <v>1</v>
      </c>
      <c r="H14" s="2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51</v>
      </c>
      <c r="B15" s="1" t="s">
        <v>52</v>
      </c>
      <c r="C15" s="1" t="s">
        <v>38</v>
      </c>
      <c r="D15" s="1">
        <v>1.0</v>
      </c>
      <c r="E15" s="1" t="s">
        <v>20</v>
      </c>
      <c r="F15" s="2" t="s">
        <v>21</v>
      </c>
      <c r="G15" s="1" t="b">
        <v>1</v>
      </c>
      <c r="H15" s="2" t="s">
        <v>13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53</v>
      </c>
      <c r="B16" s="1" t="s">
        <v>54</v>
      </c>
      <c r="C16" s="1" t="s">
        <v>55</v>
      </c>
      <c r="D16" s="1">
        <v>1.0</v>
      </c>
      <c r="E16" s="1" t="s">
        <v>20</v>
      </c>
      <c r="F16" s="2" t="s">
        <v>21</v>
      </c>
      <c r="G16" s="1" t="b">
        <v>1</v>
      </c>
      <c r="H16" s="2" t="s">
        <v>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56</v>
      </c>
      <c r="B17" s="1" t="s">
        <v>57</v>
      </c>
      <c r="C17" s="1" t="s">
        <v>55</v>
      </c>
      <c r="D17" s="1">
        <v>1.0</v>
      </c>
      <c r="E17" s="1" t="s">
        <v>20</v>
      </c>
      <c r="F17" s="2" t="s">
        <v>21</v>
      </c>
      <c r="G17" s="1" t="b">
        <v>1</v>
      </c>
      <c r="H17" s="2" t="s">
        <v>13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58</v>
      </c>
      <c r="B18" s="1" t="s">
        <v>59</v>
      </c>
      <c r="C18" s="1" t="s">
        <v>55</v>
      </c>
      <c r="D18" s="1">
        <v>12.0</v>
      </c>
      <c r="E18" s="1" t="s">
        <v>24</v>
      </c>
      <c r="F18" s="2" t="s">
        <v>27</v>
      </c>
      <c r="G18" s="1" t="b">
        <v>1</v>
      </c>
      <c r="H18" s="2" t="s">
        <v>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60</v>
      </c>
      <c r="B19" s="1" t="s">
        <v>61</v>
      </c>
      <c r="C19" s="1" t="s">
        <v>55</v>
      </c>
      <c r="D19" s="1">
        <v>1.0</v>
      </c>
      <c r="E19" s="1" t="s">
        <v>20</v>
      </c>
      <c r="F19" s="2" t="s">
        <v>21</v>
      </c>
      <c r="G19" s="1" t="b">
        <v>1</v>
      </c>
      <c r="H19" s="2" t="s">
        <v>13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62</v>
      </c>
      <c r="B20" s="1" t="s">
        <v>63</v>
      </c>
      <c r="C20" s="1" t="s">
        <v>64</v>
      </c>
      <c r="D20" s="1">
        <v>5.0</v>
      </c>
      <c r="E20" s="1" t="s">
        <v>20</v>
      </c>
      <c r="F20" s="2" t="s">
        <v>21</v>
      </c>
      <c r="G20" s="1" t="b">
        <v>1</v>
      </c>
      <c r="H20" s="2" t="s">
        <v>13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65</v>
      </c>
      <c r="B21" s="1" t="s">
        <v>66</v>
      </c>
      <c r="C21" s="1" t="s">
        <v>64</v>
      </c>
      <c r="D21" s="1">
        <v>16.0</v>
      </c>
      <c r="E21" s="1" t="s">
        <v>24</v>
      </c>
      <c r="F21" s="2" t="s">
        <v>27</v>
      </c>
      <c r="G21" s="1" t="b">
        <v>1</v>
      </c>
      <c r="H21" s="2" t="s">
        <v>13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67</v>
      </c>
      <c r="B22" s="1" t="s">
        <v>68</v>
      </c>
      <c r="C22" s="1" t="s">
        <v>64</v>
      </c>
      <c r="D22" s="1">
        <v>16.0</v>
      </c>
      <c r="E22" s="1" t="s">
        <v>24</v>
      </c>
      <c r="F22" s="2" t="s">
        <v>27</v>
      </c>
      <c r="G22" s="1" t="b">
        <v>1</v>
      </c>
      <c r="H22" s="2" t="s">
        <v>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 t="s">
        <v>69</v>
      </c>
      <c r="B23" s="1" t="s">
        <v>70</v>
      </c>
      <c r="C23" s="1" t="s">
        <v>64</v>
      </c>
      <c r="D23" s="1">
        <v>18.0</v>
      </c>
      <c r="E23" s="1" t="s">
        <v>24</v>
      </c>
      <c r="F23" s="2" t="s">
        <v>27</v>
      </c>
      <c r="G23" s="1" t="b">
        <v>1</v>
      </c>
      <c r="H23" s="2" t="s">
        <v>13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 t="s">
        <v>71</v>
      </c>
      <c r="B24" s="1" t="s">
        <v>72</v>
      </c>
      <c r="C24" s="1" t="s">
        <v>64</v>
      </c>
      <c r="D24" s="1">
        <v>5.0</v>
      </c>
      <c r="E24" s="1" t="s">
        <v>24</v>
      </c>
      <c r="F24" s="2" t="s">
        <v>27</v>
      </c>
      <c r="G24" s="1" t="b">
        <v>1</v>
      </c>
      <c r="H24" s="2" t="s">
        <v>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73</v>
      </c>
      <c r="B25" s="1" t="s">
        <v>74</v>
      </c>
      <c r="C25" s="1" t="s">
        <v>64</v>
      </c>
      <c r="D25" s="1">
        <v>10.5</v>
      </c>
      <c r="E25" s="1" t="s">
        <v>24</v>
      </c>
      <c r="F25" s="2" t="s">
        <v>27</v>
      </c>
      <c r="G25" s="1" t="b">
        <v>1</v>
      </c>
      <c r="H25" s="2" t="s">
        <v>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 t="s">
        <v>75</v>
      </c>
      <c r="B26" s="1" t="s">
        <v>76</v>
      </c>
      <c r="C26" s="1" t="s">
        <v>77</v>
      </c>
      <c r="D26" s="1">
        <v>12.0</v>
      </c>
      <c r="E26" s="1" t="s">
        <v>78</v>
      </c>
      <c r="F26" s="2" t="s">
        <v>35</v>
      </c>
      <c r="G26" s="1" t="b">
        <v>1</v>
      </c>
      <c r="H26" s="2" t="s">
        <v>76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 t="s">
        <v>79</v>
      </c>
      <c r="B27" s="1" t="s">
        <v>80</v>
      </c>
      <c r="C27" s="1" t="s">
        <v>77</v>
      </c>
      <c r="D27" s="1">
        <v>12.0</v>
      </c>
      <c r="E27" s="1" t="s">
        <v>78</v>
      </c>
      <c r="F27" s="2" t="s">
        <v>81</v>
      </c>
      <c r="G27" s="1" t="b">
        <v>1</v>
      </c>
      <c r="H27" s="2" t="s">
        <v>80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 t="s">
        <v>82</v>
      </c>
      <c r="B28" s="1" t="s">
        <v>83</v>
      </c>
      <c r="C28" s="1" t="s">
        <v>77</v>
      </c>
      <c r="D28" s="1">
        <v>24.0</v>
      </c>
      <c r="E28" s="1" t="s">
        <v>78</v>
      </c>
      <c r="F28" s="2" t="s">
        <v>35</v>
      </c>
      <c r="G28" s="1" t="b">
        <v>1</v>
      </c>
      <c r="H28" s="2" t="s">
        <v>13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84</v>
      </c>
      <c r="B29" s="1" t="s">
        <v>85</v>
      </c>
      <c r="C29" s="1" t="s">
        <v>77</v>
      </c>
      <c r="D29" s="1">
        <v>12.0</v>
      </c>
      <c r="E29" s="1" t="s">
        <v>24</v>
      </c>
      <c r="F29" s="2" t="s">
        <v>27</v>
      </c>
      <c r="G29" s="1" t="b">
        <v>1</v>
      </c>
      <c r="H29" s="2" t="s">
        <v>13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 t="s">
        <v>86</v>
      </c>
      <c r="B30" s="1" t="s">
        <v>87</v>
      </c>
      <c r="C30" s="1" t="s">
        <v>88</v>
      </c>
      <c r="D30" s="1">
        <v>6.0</v>
      </c>
      <c r="E30" s="1" t="s">
        <v>89</v>
      </c>
      <c r="F30" s="2" t="s">
        <v>90</v>
      </c>
      <c r="G30" s="1" t="b">
        <v>1</v>
      </c>
      <c r="H30" s="2" t="s">
        <v>13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 t="s">
        <v>91</v>
      </c>
      <c r="B31" s="1" t="s">
        <v>92</v>
      </c>
      <c r="C31" s="1" t="s">
        <v>88</v>
      </c>
      <c r="D31" s="1">
        <v>12.0</v>
      </c>
      <c r="E31" s="1" t="s">
        <v>89</v>
      </c>
      <c r="F31" s="2" t="s">
        <v>90</v>
      </c>
      <c r="G31" s="1" t="b">
        <v>1</v>
      </c>
      <c r="H31" s="2" t="s">
        <v>13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93</v>
      </c>
      <c r="B1" s="1" t="s">
        <v>94</v>
      </c>
      <c r="C1" s="1" t="s">
        <v>95</v>
      </c>
      <c r="D1" s="1" t="s">
        <v>96</v>
      </c>
      <c r="E1" s="1" t="s">
        <v>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97</v>
      </c>
      <c r="B2" s="1" t="s">
        <v>98</v>
      </c>
      <c r="C2" s="1" t="s">
        <v>99</v>
      </c>
      <c r="D2" s="1" t="s">
        <v>100</v>
      </c>
      <c r="E2" s="1" t="b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101</v>
      </c>
      <c r="B3" s="1" t="s">
        <v>102</v>
      </c>
      <c r="C3" s="1" t="s">
        <v>99</v>
      </c>
      <c r="D3" s="1" t="s">
        <v>100</v>
      </c>
      <c r="E3" s="1" t="b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103</v>
      </c>
      <c r="B4" s="1" t="s">
        <v>104</v>
      </c>
      <c r="C4" s="1" t="s">
        <v>99</v>
      </c>
      <c r="D4" s="1" t="s">
        <v>100</v>
      </c>
      <c r="E4" s="1" t="b">
        <v>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105</v>
      </c>
      <c r="B5" s="1" t="s">
        <v>106</v>
      </c>
      <c r="C5" s="1" t="s">
        <v>99</v>
      </c>
      <c r="D5" s="1" t="s">
        <v>100</v>
      </c>
      <c r="E5" s="1" t="b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2.86"/>
    <col customWidth="1" min="5" max="11" width="8.71"/>
  </cols>
  <sheetData>
    <row r="1">
      <c r="A1" s="1" t="s">
        <v>0</v>
      </c>
      <c r="B1" s="1" t="s">
        <v>93</v>
      </c>
      <c r="C1" s="1" t="s">
        <v>107</v>
      </c>
      <c r="D1" s="2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2" t="s">
        <v>114</v>
      </c>
      <c r="K1" s="2" t="s">
        <v>115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8</v>
      </c>
      <c r="B2" s="1" t="s">
        <v>97</v>
      </c>
      <c r="C2" s="1">
        <v>3.19</v>
      </c>
      <c r="D2" s="3"/>
      <c r="E2" s="3"/>
      <c r="F2" s="3"/>
      <c r="G2" s="3"/>
      <c r="H2" s="3"/>
      <c r="I2" s="3"/>
      <c r="J2" s="3"/>
      <c r="K2" s="2" t="s">
        <v>116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8</v>
      </c>
      <c r="B3" s="1" t="s">
        <v>101</v>
      </c>
      <c r="C3" s="1">
        <v>2.58</v>
      </c>
      <c r="D3" s="3"/>
      <c r="E3" s="3"/>
      <c r="F3" s="3"/>
      <c r="G3" s="3"/>
      <c r="H3" s="3"/>
      <c r="I3" s="3"/>
      <c r="J3" s="3"/>
      <c r="K3" s="2" t="s">
        <v>116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103</v>
      </c>
      <c r="C4" s="1" t="s">
        <v>117</v>
      </c>
      <c r="D4" s="3"/>
      <c r="E4" s="3"/>
      <c r="F4" s="3"/>
      <c r="G4" s="3"/>
      <c r="H4" s="3"/>
      <c r="I4" s="3"/>
      <c r="J4" s="3"/>
      <c r="K4" s="2" t="s">
        <v>116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1" t="s">
        <v>105</v>
      </c>
      <c r="C5" s="3"/>
      <c r="D5" s="3"/>
      <c r="E5" s="3"/>
      <c r="F5" s="3"/>
      <c r="G5" s="3"/>
      <c r="H5" s="3"/>
      <c r="I5" s="3"/>
      <c r="J5" s="3"/>
      <c r="K5" s="2" t="s">
        <v>116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14</v>
      </c>
      <c r="B6" s="1" t="s">
        <v>97</v>
      </c>
      <c r="C6" s="1">
        <v>2.09</v>
      </c>
      <c r="D6" s="3"/>
      <c r="E6" s="3"/>
      <c r="F6" s="3"/>
      <c r="G6" s="3"/>
      <c r="H6" s="3"/>
      <c r="I6" s="3"/>
      <c r="J6" s="3"/>
      <c r="K6" s="2" t="s">
        <v>116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14</v>
      </c>
      <c r="B7" s="1" t="s">
        <v>101</v>
      </c>
      <c r="C7" s="1">
        <v>1.47</v>
      </c>
      <c r="D7" s="3"/>
      <c r="E7" s="3"/>
      <c r="F7" s="3"/>
      <c r="G7" s="3"/>
      <c r="H7" s="3"/>
      <c r="I7" s="3"/>
      <c r="J7" s="3"/>
      <c r="K7" s="2" t="s">
        <v>116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14</v>
      </c>
      <c r="B8" s="1" t="s">
        <v>103</v>
      </c>
      <c r="C8" s="3"/>
      <c r="D8" s="3"/>
      <c r="E8" s="3"/>
      <c r="F8" s="3"/>
      <c r="G8" s="3"/>
      <c r="H8" s="3"/>
      <c r="I8" s="3"/>
      <c r="J8" s="3"/>
      <c r="K8" s="2" t="s">
        <v>116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14</v>
      </c>
      <c r="B9" s="1" t="s">
        <v>105</v>
      </c>
      <c r="C9" s="3"/>
      <c r="D9" s="3"/>
      <c r="E9" s="3"/>
      <c r="F9" s="3"/>
      <c r="G9" s="3"/>
      <c r="H9" s="3"/>
      <c r="I9" s="3"/>
      <c r="J9" s="3"/>
      <c r="K9" s="2" t="s">
        <v>116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18</v>
      </c>
      <c r="B10" s="1" t="s">
        <v>97</v>
      </c>
      <c r="C10" s="1">
        <v>3.49</v>
      </c>
      <c r="D10" s="3"/>
      <c r="E10" s="3"/>
      <c r="F10" s="3"/>
      <c r="G10" s="3"/>
      <c r="H10" s="3"/>
      <c r="I10" s="3"/>
      <c r="J10" s="3"/>
      <c r="K10" s="2" t="s">
        <v>116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18</v>
      </c>
      <c r="B11" s="1" t="s">
        <v>101</v>
      </c>
      <c r="C11" s="1">
        <v>3.06</v>
      </c>
      <c r="D11" s="3"/>
      <c r="E11" s="3"/>
      <c r="F11" s="3"/>
      <c r="G11" s="3"/>
      <c r="H11" s="3"/>
      <c r="I11" s="3"/>
      <c r="J11" s="3"/>
      <c r="K11" s="2" t="s">
        <v>116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18</v>
      </c>
      <c r="B12" s="1" t="s">
        <v>103</v>
      </c>
      <c r="C12" s="3"/>
      <c r="D12" s="3"/>
      <c r="E12" s="3"/>
      <c r="F12" s="3"/>
      <c r="G12" s="3"/>
      <c r="H12" s="3"/>
      <c r="I12" s="3"/>
      <c r="J12" s="3"/>
      <c r="K12" s="2" t="s">
        <v>116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18</v>
      </c>
      <c r="B13" s="1" t="s">
        <v>105</v>
      </c>
      <c r="C13" s="3"/>
      <c r="D13" s="3"/>
      <c r="E13" s="3"/>
      <c r="F13" s="3"/>
      <c r="G13" s="3"/>
      <c r="H13" s="3"/>
      <c r="I13" s="3"/>
      <c r="J13" s="3"/>
      <c r="K13" s="2" t="s">
        <v>116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22</v>
      </c>
      <c r="B14" s="1" t="s">
        <v>97</v>
      </c>
      <c r="C14" s="1">
        <v>3.69</v>
      </c>
      <c r="D14" s="3"/>
      <c r="E14" s="3"/>
      <c r="F14" s="3"/>
      <c r="G14" s="3"/>
      <c r="H14" s="3"/>
      <c r="I14" s="3"/>
      <c r="J14" s="3"/>
      <c r="K14" s="2" t="s">
        <v>116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22</v>
      </c>
      <c r="B15" s="1" t="s">
        <v>101</v>
      </c>
      <c r="C15" s="1">
        <v>3.58</v>
      </c>
      <c r="D15" s="3"/>
      <c r="E15" s="3"/>
      <c r="F15" s="3"/>
      <c r="G15" s="3"/>
      <c r="H15" s="3"/>
      <c r="I15" s="3"/>
      <c r="J15" s="3"/>
      <c r="K15" s="2" t="s">
        <v>116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22</v>
      </c>
      <c r="B16" s="1" t="s">
        <v>103</v>
      </c>
      <c r="C16" s="3"/>
      <c r="D16" s="3"/>
      <c r="E16" s="3"/>
      <c r="F16" s="3"/>
      <c r="G16" s="3"/>
      <c r="H16" s="3"/>
      <c r="I16" s="3"/>
      <c r="J16" s="3"/>
      <c r="K16" s="2" t="s">
        <v>116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22</v>
      </c>
      <c r="B17" s="1" t="s">
        <v>105</v>
      </c>
      <c r="C17" s="3"/>
      <c r="D17" s="3"/>
      <c r="E17" s="3"/>
      <c r="F17" s="3"/>
      <c r="G17" s="3"/>
      <c r="H17" s="3"/>
      <c r="I17" s="3"/>
      <c r="J17" s="3"/>
      <c r="K17" s="2" t="s">
        <v>116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25</v>
      </c>
      <c r="B18" s="1" t="s">
        <v>97</v>
      </c>
      <c r="C18" s="1">
        <v>4.99</v>
      </c>
      <c r="D18" s="3"/>
      <c r="E18" s="3"/>
      <c r="F18" s="3"/>
      <c r="G18" s="3"/>
      <c r="H18" s="3"/>
      <c r="I18" s="3"/>
      <c r="J18" s="3"/>
      <c r="K18" s="2" t="s">
        <v>116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25</v>
      </c>
      <c r="B19" s="1" t="s">
        <v>101</v>
      </c>
      <c r="C19" s="1">
        <v>3.28</v>
      </c>
      <c r="D19" s="3"/>
      <c r="E19" s="3"/>
      <c r="F19" s="3"/>
      <c r="G19" s="3"/>
      <c r="H19" s="3"/>
      <c r="I19" s="3"/>
      <c r="J19" s="3"/>
      <c r="K19" s="2" t="s">
        <v>116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25</v>
      </c>
      <c r="B20" s="1" t="s">
        <v>103</v>
      </c>
      <c r="C20" s="3"/>
      <c r="D20" s="3"/>
      <c r="E20" s="3"/>
      <c r="F20" s="3"/>
      <c r="G20" s="3"/>
      <c r="H20" s="3"/>
      <c r="I20" s="3"/>
      <c r="J20" s="3"/>
      <c r="K20" s="2" t="s">
        <v>116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25</v>
      </c>
      <c r="B21" s="1" t="s">
        <v>105</v>
      </c>
      <c r="C21" s="3"/>
      <c r="D21" s="3"/>
      <c r="E21" s="3"/>
      <c r="F21" s="3"/>
      <c r="G21" s="3"/>
      <c r="H21" s="3"/>
      <c r="I21" s="3"/>
      <c r="J21" s="3"/>
      <c r="K21" s="2" t="s">
        <v>116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28</v>
      </c>
      <c r="B22" s="1" t="s">
        <v>97</v>
      </c>
      <c r="C22" s="1">
        <v>1.99</v>
      </c>
      <c r="D22" s="3"/>
      <c r="E22" s="3"/>
      <c r="F22" s="3"/>
      <c r="G22" s="3"/>
      <c r="H22" s="3"/>
      <c r="I22" s="3"/>
      <c r="J22" s="3"/>
      <c r="K22" s="2" t="s">
        <v>116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 t="s">
        <v>28</v>
      </c>
      <c r="B23" s="1" t="s">
        <v>101</v>
      </c>
      <c r="C23" s="1">
        <v>2.47</v>
      </c>
      <c r="D23" s="3"/>
      <c r="E23" s="3"/>
      <c r="F23" s="3"/>
      <c r="G23" s="3"/>
      <c r="H23" s="3"/>
      <c r="I23" s="3"/>
      <c r="J23" s="3"/>
      <c r="K23" s="2" t="s">
        <v>116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 t="s">
        <v>28</v>
      </c>
      <c r="B24" s="1" t="s">
        <v>103</v>
      </c>
      <c r="C24" s="3"/>
      <c r="D24" s="3"/>
      <c r="E24" s="3"/>
      <c r="F24" s="3"/>
      <c r="G24" s="3"/>
      <c r="H24" s="3"/>
      <c r="I24" s="3"/>
      <c r="J24" s="3"/>
      <c r="K24" s="2" t="s">
        <v>116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28</v>
      </c>
      <c r="B25" s="1" t="s">
        <v>105</v>
      </c>
      <c r="C25" s="3"/>
      <c r="D25" s="3"/>
      <c r="E25" s="3"/>
      <c r="F25" s="3"/>
      <c r="G25" s="3"/>
      <c r="H25" s="3"/>
      <c r="I25" s="3"/>
      <c r="J25" s="3"/>
      <c r="K25" s="2" t="s">
        <v>116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 t="s">
        <v>31</v>
      </c>
      <c r="B26" s="1" t="s">
        <v>97</v>
      </c>
      <c r="C26" s="1">
        <v>1.99</v>
      </c>
      <c r="D26" s="3"/>
      <c r="E26" s="3"/>
      <c r="F26" s="3"/>
      <c r="G26" s="3"/>
      <c r="H26" s="3"/>
      <c r="I26" s="3"/>
      <c r="J26" s="3"/>
      <c r="K26" s="2" t="s">
        <v>116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 t="s">
        <v>31</v>
      </c>
      <c r="B27" s="1" t="s">
        <v>101</v>
      </c>
      <c r="C27" s="1">
        <v>1.97</v>
      </c>
      <c r="D27" s="3"/>
      <c r="E27" s="3"/>
      <c r="F27" s="3"/>
      <c r="G27" s="3"/>
      <c r="H27" s="3"/>
      <c r="I27" s="3"/>
      <c r="J27" s="3"/>
      <c r="K27" s="2" t="s">
        <v>116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 t="s">
        <v>31</v>
      </c>
      <c r="B28" s="1" t="s">
        <v>103</v>
      </c>
      <c r="C28" s="3"/>
      <c r="D28" s="3"/>
      <c r="E28" s="3"/>
      <c r="F28" s="3"/>
      <c r="G28" s="3"/>
      <c r="H28" s="3"/>
      <c r="I28" s="3"/>
      <c r="J28" s="3"/>
      <c r="K28" s="2" t="s">
        <v>116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31</v>
      </c>
      <c r="B29" s="1" t="s">
        <v>105</v>
      </c>
      <c r="C29" s="3"/>
      <c r="D29" s="3"/>
      <c r="E29" s="3"/>
      <c r="F29" s="3"/>
      <c r="G29" s="3"/>
      <c r="H29" s="3"/>
      <c r="I29" s="3"/>
      <c r="J29" s="3"/>
      <c r="K29" s="2" t="s">
        <v>116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 t="s">
        <v>33</v>
      </c>
      <c r="B30" s="1" t="s">
        <v>97</v>
      </c>
      <c r="C30" s="3"/>
      <c r="D30" s="3"/>
      <c r="E30" s="3"/>
      <c r="F30" s="3"/>
      <c r="G30" s="3"/>
      <c r="H30" s="3"/>
      <c r="I30" s="3"/>
      <c r="J30" s="3"/>
      <c r="K30" s="2" t="s">
        <v>116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 t="s">
        <v>33</v>
      </c>
      <c r="B31" s="1" t="s">
        <v>101</v>
      </c>
      <c r="C31" s="1">
        <v>1.99</v>
      </c>
      <c r="D31" s="3"/>
      <c r="E31" s="3"/>
      <c r="F31" s="3"/>
      <c r="G31" s="3"/>
      <c r="H31" s="3"/>
      <c r="I31" s="3"/>
      <c r="J31" s="3"/>
      <c r="K31" s="2" t="s">
        <v>116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 t="s">
        <v>33</v>
      </c>
      <c r="B32" s="1" t="s">
        <v>103</v>
      </c>
      <c r="C32" s="1">
        <v>1.48</v>
      </c>
      <c r="D32" s="3"/>
      <c r="E32" s="3"/>
      <c r="F32" s="3"/>
      <c r="G32" s="3"/>
      <c r="H32" s="3"/>
      <c r="I32" s="3"/>
      <c r="J32" s="3"/>
      <c r="K32" s="2" t="s">
        <v>116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 t="s">
        <v>33</v>
      </c>
      <c r="B33" s="1" t="s">
        <v>105</v>
      </c>
      <c r="C33" s="3"/>
      <c r="D33" s="3"/>
      <c r="E33" s="3"/>
      <c r="F33" s="3"/>
      <c r="G33" s="3"/>
      <c r="H33" s="3"/>
      <c r="I33" s="3"/>
      <c r="J33" s="3"/>
      <c r="K33" s="2" t="s">
        <v>116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 t="s">
        <v>36</v>
      </c>
      <c r="B34" s="1" t="s">
        <v>97</v>
      </c>
      <c r="C34" s="1">
        <v>0.29</v>
      </c>
      <c r="D34" s="3"/>
      <c r="E34" s="3"/>
      <c r="F34" s="3"/>
      <c r="G34" s="3"/>
      <c r="H34" s="3"/>
      <c r="I34" s="3"/>
      <c r="J34" s="3"/>
      <c r="K34" s="2" t="s">
        <v>116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 t="s">
        <v>36</v>
      </c>
      <c r="B35" s="1" t="s">
        <v>101</v>
      </c>
      <c r="C35" s="1">
        <v>0.5</v>
      </c>
      <c r="D35" s="3"/>
      <c r="E35" s="3"/>
      <c r="F35" s="3"/>
      <c r="G35" s="3"/>
      <c r="H35" s="3"/>
      <c r="I35" s="3"/>
      <c r="J35" s="3"/>
      <c r="K35" s="2" t="s">
        <v>116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 t="s">
        <v>36</v>
      </c>
      <c r="B36" s="1" t="s">
        <v>103</v>
      </c>
      <c r="C36" s="3"/>
      <c r="D36" s="3"/>
      <c r="E36" s="3"/>
      <c r="F36" s="3"/>
      <c r="G36" s="3"/>
      <c r="H36" s="3"/>
      <c r="I36" s="3"/>
      <c r="J36" s="3"/>
      <c r="K36" s="2" t="s">
        <v>116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 t="s">
        <v>36</v>
      </c>
      <c r="B37" s="1" t="s">
        <v>105</v>
      </c>
      <c r="C37" s="3"/>
      <c r="D37" s="3"/>
      <c r="E37" s="3"/>
      <c r="F37" s="3"/>
      <c r="G37" s="3"/>
      <c r="H37" s="3"/>
      <c r="I37" s="3"/>
      <c r="J37" s="3"/>
      <c r="K37" s="2" t="s">
        <v>116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 t="s">
        <v>39</v>
      </c>
      <c r="B38" s="1" t="s">
        <v>97</v>
      </c>
      <c r="C38" s="1">
        <v>3.99</v>
      </c>
      <c r="D38" s="2">
        <v>3.0</v>
      </c>
      <c r="E38" s="3"/>
      <c r="F38" s="3"/>
      <c r="G38" s="3"/>
      <c r="H38" s="3"/>
      <c r="I38" s="3"/>
      <c r="J38" s="2">
        <f t="shared" ref="J38:J39" si="1">C38/D38</f>
        <v>1.33</v>
      </c>
      <c r="K38" s="2" t="s">
        <v>116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39</v>
      </c>
      <c r="B39" s="1" t="s">
        <v>101</v>
      </c>
      <c r="C39" s="1">
        <v>3.24</v>
      </c>
      <c r="D39" s="2">
        <v>3.0</v>
      </c>
      <c r="E39" s="3"/>
      <c r="F39" s="3"/>
      <c r="G39" s="3"/>
      <c r="H39" s="3"/>
      <c r="I39" s="3"/>
      <c r="J39" s="2">
        <f t="shared" si="1"/>
        <v>1.08</v>
      </c>
      <c r="K39" s="2" t="s">
        <v>116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 t="s">
        <v>39</v>
      </c>
      <c r="B40" s="1" t="s">
        <v>103</v>
      </c>
      <c r="C40" s="3"/>
      <c r="D40" s="2">
        <v>3.0</v>
      </c>
      <c r="E40" s="3"/>
      <c r="F40" s="3"/>
      <c r="G40" s="3"/>
      <c r="H40" s="3"/>
      <c r="I40" s="3"/>
      <c r="J40" s="3"/>
      <c r="K40" s="2" t="s">
        <v>116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 t="s">
        <v>39</v>
      </c>
      <c r="B41" s="1" t="s">
        <v>105</v>
      </c>
      <c r="C41" s="3"/>
      <c r="D41" s="2">
        <v>3.0</v>
      </c>
      <c r="E41" s="3"/>
      <c r="F41" s="3"/>
      <c r="G41" s="3"/>
      <c r="H41" s="3"/>
      <c r="I41" s="3"/>
      <c r="J41" s="3"/>
      <c r="K41" s="2" t="s">
        <v>116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 t="s">
        <v>41</v>
      </c>
      <c r="B42" s="1" t="s">
        <v>97</v>
      </c>
      <c r="C42" s="1">
        <v>2.5</v>
      </c>
      <c r="D42" s="3"/>
      <c r="E42" s="3"/>
      <c r="F42" s="3"/>
      <c r="G42" s="3"/>
      <c r="H42" s="3"/>
      <c r="I42" s="3"/>
      <c r="J42" s="3"/>
      <c r="K42" s="2" t="s">
        <v>116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 t="s">
        <v>41</v>
      </c>
      <c r="B43" s="1" t="s">
        <v>101</v>
      </c>
      <c r="C43" s="1">
        <v>0.99</v>
      </c>
      <c r="D43" s="3"/>
      <c r="E43" s="3"/>
      <c r="F43" s="3"/>
      <c r="G43" s="3"/>
      <c r="H43" s="3"/>
      <c r="I43" s="3"/>
      <c r="J43" s="3"/>
      <c r="K43" s="2" t="s">
        <v>116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 t="s">
        <v>41</v>
      </c>
      <c r="B44" s="1" t="s">
        <v>103</v>
      </c>
      <c r="C44" s="3"/>
      <c r="D44" s="3"/>
      <c r="E44" s="3"/>
      <c r="F44" s="3"/>
      <c r="G44" s="3"/>
      <c r="H44" s="3"/>
      <c r="I44" s="3"/>
      <c r="J44" s="3"/>
      <c r="K44" s="2" t="s">
        <v>116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 t="s">
        <v>41</v>
      </c>
      <c r="B45" s="1" t="s">
        <v>105</v>
      </c>
      <c r="C45" s="3"/>
      <c r="D45" s="3"/>
      <c r="E45" s="3"/>
      <c r="F45" s="3"/>
      <c r="G45" s="3"/>
      <c r="H45" s="3"/>
      <c r="I45" s="3"/>
      <c r="J45" s="3"/>
      <c r="K45" s="2" t="s">
        <v>116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 t="s">
        <v>45</v>
      </c>
      <c r="B46" s="1" t="s">
        <v>97</v>
      </c>
      <c r="C46" s="1">
        <v>1.49</v>
      </c>
      <c r="D46" s="3"/>
      <c r="E46" s="3"/>
      <c r="F46" s="3"/>
      <c r="G46" s="3"/>
      <c r="H46" s="3"/>
      <c r="I46" s="3"/>
      <c r="J46" s="3"/>
      <c r="K46" s="2" t="s">
        <v>116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 t="s">
        <v>45</v>
      </c>
      <c r="B47" s="1" t="s">
        <v>101</v>
      </c>
      <c r="C47" s="1">
        <v>0.97</v>
      </c>
      <c r="D47" s="3"/>
      <c r="E47" s="3"/>
      <c r="F47" s="3"/>
      <c r="G47" s="3"/>
      <c r="H47" s="3"/>
      <c r="I47" s="3"/>
      <c r="J47" s="3"/>
      <c r="K47" s="2" t="s">
        <v>116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 t="s">
        <v>45</v>
      </c>
      <c r="B48" s="1" t="s">
        <v>103</v>
      </c>
      <c r="C48" s="3"/>
      <c r="D48" s="3"/>
      <c r="E48" s="3"/>
      <c r="F48" s="3"/>
      <c r="G48" s="3"/>
      <c r="H48" s="3"/>
      <c r="I48" s="3"/>
      <c r="J48" s="3"/>
      <c r="K48" s="2" t="s">
        <v>116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 t="s">
        <v>45</v>
      </c>
      <c r="B49" s="1" t="s">
        <v>105</v>
      </c>
      <c r="C49" s="3"/>
      <c r="D49" s="3"/>
      <c r="E49" s="3"/>
      <c r="F49" s="3"/>
      <c r="G49" s="3"/>
      <c r="H49" s="3"/>
      <c r="I49" s="3"/>
      <c r="J49" s="3"/>
      <c r="K49" s="2" t="s">
        <v>116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 t="s">
        <v>47</v>
      </c>
      <c r="B50" s="1" t="s">
        <v>97</v>
      </c>
      <c r="C50" s="1">
        <v>2.49</v>
      </c>
      <c r="D50" s="3"/>
      <c r="E50" s="3"/>
      <c r="F50" s="3"/>
      <c r="G50" s="3"/>
      <c r="H50" s="3"/>
      <c r="I50" s="3"/>
      <c r="J50" s="3"/>
      <c r="K50" s="2" t="s">
        <v>116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 t="s">
        <v>47</v>
      </c>
      <c r="B51" s="1" t="s">
        <v>101</v>
      </c>
      <c r="C51" s="1">
        <v>2.28</v>
      </c>
      <c r="D51" s="3"/>
      <c r="E51" s="3"/>
      <c r="F51" s="3"/>
      <c r="G51" s="3"/>
      <c r="H51" s="3"/>
      <c r="I51" s="3"/>
      <c r="J51" s="3"/>
      <c r="K51" s="2" t="s">
        <v>116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 t="s">
        <v>47</v>
      </c>
      <c r="B52" s="1" t="s">
        <v>103</v>
      </c>
      <c r="C52" s="3"/>
      <c r="D52" s="3"/>
      <c r="E52" s="3"/>
      <c r="F52" s="3"/>
      <c r="G52" s="3"/>
      <c r="H52" s="3"/>
      <c r="I52" s="3"/>
      <c r="J52" s="3"/>
      <c r="K52" s="2" t="s">
        <v>116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 t="s">
        <v>47</v>
      </c>
      <c r="B53" s="1" t="s">
        <v>105</v>
      </c>
      <c r="C53" s="3"/>
      <c r="D53" s="3"/>
      <c r="E53" s="3"/>
      <c r="F53" s="3"/>
      <c r="G53" s="3"/>
      <c r="H53" s="3"/>
      <c r="I53" s="3"/>
      <c r="J53" s="3"/>
      <c r="K53" s="2" t="s">
        <v>116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 t="s">
        <v>51</v>
      </c>
      <c r="B54" s="1" t="s">
        <v>97</v>
      </c>
      <c r="C54" s="1">
        <v>0.79</v>
      </c>
      <c r="D54" s="3"/>
      <c r="E54" s="3"/>
      <c r="F54" s="3"/>
      <c r="G54" s="3"/>
      <c r="H54" s="3"/>
      <c r="I54" s="3"/>
      <c r="J54" s="3"/>
      <c r="K54" s="2" t="s">
        <v>116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 t="s">
        <v>51</v>
      </c>
      <c r="B55" s="1" t="s">
        <v>101</v>
      </c>
      <c r="C55" s="1">
        <v>1.0</v>
      </c>
      <c r="D55" s="3"/>
      <c r="E55" s="3"/>
      <c r="F55" s="3"/>
      <c r="G55" s="3"/>
      <c r="H55" s="3"/>
      <c r="I55" s="3"/>
      <c r="J55" s="3"/>
      <c r="K55" s="2" t="s">
        <v>116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 t="s">
        <v>51</v>
      </c>
      <c r="B56" s="1" t="s">
        <v>103</v>
      </c>
      <c r="C56" s="3"/>
      <c r="D56" s="3"/>
      <c r="E56" s="3"/>
      <c r="F56" s="3"/>
      <c r="G56" s="3"/>
      <c r="H56" s="3"/>
      <c r="I56" s="3"/>
      <c r="J56" s="3"/>
      <c r="K56" s="2" t="s">
        <v>116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 t="s">
        <v>51</v>
      </c>
      <c r="B57" s="1" t="s">
        <v>105</v>
      </c>
      <c r="C57" s="3"/>
      <c r="D57" s="3"/>
      <c r="E57" s="3"/>
      <c r="F57" s="3"/>
      <c r="G57" s="3"/>
      <c r="H57" s="3"/>
      <c r="I57" s="3"/>
      <c r="J57" s="3"/>
      <c r="K57" s="2" t="s">
        <v>116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 t="s">
        <v>53</v>
      </c>
      <c r="B58" s="1" t="s">
        <v>97</v>
      </c>
      <c r="C58" s="1">
        <v>6.99</v>
      </c>
      <c r="D58" s="3"/>
      <c r="E58" s="3"/>
      <c r="F58" s="3"/>
      <c r="G58" s="3"/>
      <c r="H58" s="3"/>
      <c r="I58" s="3"/>
      <c r="J58" s="3"/>
      <c r="K58" s="2" t="s">
        <v>116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 t="s">
        <v>53</v>
      </c>
      <c r="B59" s="1" t="s">
        <v>101</v>
      </c>
      <c r="C59" s="1">
        <v>2.57</v>
      </c>
      <c r="D59" s="3"/>
      <c r="E59" s="3"/>
      <c r="F59" s="3"/>
      <c r="G59" s="3"/>
      <c r="H59" s="3"/>
      <c r="I59" s="3"/>
      <c r="J59" s="3"/>
      <c r="K59" s="2" t="s">
        <v>116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 t="s">
        <v>53</v>
      </c>
      <c r="B60" s="1" t="s">
        <v>103</v>
      </c>
      <c r="C60" s="3"/>
      <c r="D60" s="3"/>
      <c r="E60" s="3"/>
      <c r="F60" s="3"/>
      <c r="G60" s="3"/>
      <c r="H60" s="3"/>
      <c r="I60" s="3"/>
      <c r="J60" s="3"/>
      <c r="K60" s="2" t="s">
        <v>116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 t="s">
        <v>53</v>
      </c>
      <c r="B61" s="1" t="s">
        <v>105</v>
      </c>
      <c r="C61" s="3"/>
      <c r="D61" s="3"/>
      <c r="E61" s="3"/>
      <c r="F61" s="3"/>
      <c r="G61" s="3"/>
      <c r="H61" s="3"/>
      <c r="I61" s="3"/>
      <c r="J61" s="3"/>
      <c r="K61" s="2" t="s">
        <v>116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 t="s">
        <v>56</v>
      </c>
      <c r="B62" s="1" t="s">
        <v>97</v>
      </c>
      <c r="C62" s="1">
        <v>7.99</v>
      </c>
      <c r="D62" s="3"/>
      <c r="E62" s="3"/>
      <c r="F62" s="3"/>
      <c r="G62" s="3"/>
      <c r="H62" s="3"/>
      <c r="I62" s="3"/>
      <c r="J62" s="3"/>
      <c r="K62" s="2" t="s">
        <v>116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 t="s">
        <v>56</v>
      </c>
      <c r="B63" s="1" t="s">
        <v>101</v>
      </c>
      <c r="C63" s="1">
        <v>7.97</v>
      </c>
      <c r="D63" s="3"/>
      <c r="E63" s="3"/>
      <c r="F63" s="3"/>
      <c r="G63" s="3"/>
      <c r="H63" s="3"/>
      <c r="I63" s="3"/>
      <c r="J63" s="3"/>
      <c r="K63" s="2" t="s">
        <v>116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 t="s">
        <v>56</v>
      </c>
      <c r="B64" s="1" t="s">
        <v>103</v>
      </c>
      <c r="C64" s="3"/>
      <c r="D64" s="3"/>
      <c r="E64" s="3"/>
      <c r="F64" s="3"/>
      <c r="G64" s="3"/>
      <c r="H64" s="3"/>
      <c r="I64" s="3"/>
      <c r="J64" s="3"/>
      <c r="K64" s="2" t="s">
        <v>116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 t="s">
        <v>56</v>
      </c>
      <c r="B65" s="1" t="s">
        <v>105</v>
      </c>
      <c r="C65" s="3"/>
      <c r="D65" s="3"/>
      <c r="E65" s="3"/>
      <c r="F65" s="3"/>
      <c r="G65" s="3"/>
      <c r="H65" s="3"/>
      <c r="I65" s="3"/>
      <c r="J65" s="3"/>
      <c r="K65" s="2" t="s">
        <v>116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 t="s">
        <v>58</v>
      </c>
      <c r="B66" s="1" t="s">
        <v>97</v>
      </c>
      <c r="C66" s="1">
        <v>3.99</v>
      </c>
      <c r="D66" s="3"/>
      <c r="E66" s="3"/>
      <c r="F66" s="3"/>
      <c r="G66" s="3"/>
      <c r="H66" s="3"/>
      <c r="I66" s="3"/>
      <c r="J66" s="3"/>
      <c r="K66" s="2" t="s">
        <v>116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 t="s">
        <v>58</v>
      </c>
      <c r="B67" s="1" t="s">
        <v>101</v>
      </c>
      <c r="C67" s="1">
        <v>3.94</v>
      </c>
      <c r="D67" s="3"/>
      <c r="E67" s="3"/>
      <c r="F67" s="3"/>
      <c r="G67" s="3"/>
      <c r="H67" s="3"/>
      <c r="I67" s="3"/>
      <c r="J67" s="3"/>
      <c r="K67" s="2" t="s">
        <v>116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 t="s">
        <v>58</v>
      </c>
      <c r="B68" s="1" t="s">
        <v>103</v>
      </c>
      <c r="C68" s="3"/>
      <c r="D68" s="3"/>
      <c r="E68" s="3"/>
      <c r="F68" s="3"/>
      <c r="G68" s="3"/>
      <c r="H68" s="3"/>
      <c r="I68" s="3"/>
      <c r="J68" s="3"/>
      <c r="K68" s="2" t="s">
        <v>116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 t="s">
        <v>58</v>
      </c>
      <c r="B69" s="1" t="s">
        <v>105</v>
      </c>
      <c r="C69" s="3"/>
      <c r="D69" s="3"/>
      <c r="E69" s="3"/>
      <c r="F69" s="3"/>
      <c r="G69" s="3"/>
      <c r="H69" s="3"/>
      <c r="I69" s="3"/>
      <c r="J69" s="3"/>
      <c r="K69" s="2" t="s">
        <v>116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 t="s">
        <v>60</v>
      </c>
      <c r="B70" s="1" t="s">
        <v>97</v>
      </c>
      <c r="C70" s="1">
        <v>12.99</v>
      </c>
      <c r="D70" s="2">
        <v>1.0</v>
      </c>
      <c r="E70" s="3"/>
      <c r="F70" s="3"/>
      <c r="G70" s="3"/>
      <c r="H70" s="3"/>
      <c r="I70" s="3"/>
      <c r="J70" s="2">
        <f t="shared" ref="J70:J71" si="2">C70/D70</f>
        <v>12.99</v>
      </c>
      <c r="K70" s="2" t="s">
        <v>116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 t="s">
        <v>60</v>
      </c>
      <c r="B71" s="1" t="s">
        <v>101</v>
      </c>
      <c r="C71" s="1">
        <v>5.97</v>
      </c>
      <c r="D71" s="2">
        <v>1.0</v>
      </c>
      <c r="E71" s="3"/>
      <c r="F71" s="3"/>
      <c r="G71" s="3"/>
      <c r="H71" s="3"/>
      <c r="I71" s="3"/>
      <c r="J71" s="2">
        <f t="shared" si="2"/>
        <v>5.97</v>
      </c>
      <c r="K71" s="2" t="s">
        <v>116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 t="s">
        <v>60</v>
      </c>
      <c r="B72" s="1" t="s">
        <v>103</v>
      </c>
      <c r="C72" s="3"/>
      <c r="D72" s="2">
        <v>1.0</v>
      </c>
      <c r="E72" s="3"/>
      <c r="F72" s="3"/>
      <c r="G72" s="3"/>
      <c r="H72" s="3"/>
      <c r="I72" s="3"/>
      <c r="J72" s="3"/>
      <c r="K72" s="2" t="s">
        <v>116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 t="s">
        <v>60</v>
      </c>
      <c r="B73" s="1" t="s">
        <v>105</v>
      </c>
      <c r="C73" s="3"/>
      <c r="D73" s="2">
        <v>1.0</v>
      </c>
      <c r="E73" s="3"/>
      <c r="F73" s="3"/>
      <c r="G73" s="3"/>
      <c r="H73" s="3"/>
      <c r="I73" s="3"/>
      <c r="J73" s="3"/>
      <c r="K73" s="2" t="s">
        <v>116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 t="s">
        <v>62</v>
      </c>
      <c r="B74" s="1" t="s">
        <v>97</v>
      </c>
      <c r="C74" s="1">
        <v>5.99</v>
      </c>
      <c r="D74" s="3"/>
      <c r="E74" s="3"/>
      <c r="F74" s="3"/>
      <c r="G74" s="3"/>
      <c r="H74" s="3"/>
      <c r="I74" s="3"/>
      <c r="J74" s="3"/>
      <c r="K74" s="2" t="s">
        <v>116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 t="s">
        <v>62</v>
      </c>
      <c r="B75" s="1" t="s">
        <v>101</v>
      </c>
      <c r="C75" s="1">
        <v>3.37</v>
      </c>
      <c r="D75" s="3"/>
      <c r="E75" s="3"/>
      <c r="F75" s="3"/>
      <c r="G75" s="3"/>
      <c r="H75" s="3"/>
      <c r="I75" s="3"/>
      <c r="J75" s="3"/>
      <c r="K75" s="2" t="s">
        <v>116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 t="s">
        <v>62</v>
      </c>
      <c r="B76" s="1" t="s">
        <v>103</v>
      </c>
      <c r="C76" s="3"/>
      <c r="D76" s="3"/>
      <c r="E76" s="3"/>
      <c r="F76" s="3"/>
      <c r="G76" s="3"/>
      <c r="H76" s="3"/>
      <c r="I76" s="3"/>
      <c r="J76" s="3"/>
      <c r="K76" s="2" t="s">
        <v>116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 t="s">
        <v>62</v>
      </c>
      <c r="B77" s="1" t="s">
        <v>105</v>
      </c>
      <c r="C77" s="3"/>
      <c r="D77" s="3"/>
      <c r="E77" s="3"/>
      <c r="F77" s="3"/>
      <c r="G77" s="3"/>
      <c r="H77" s="3"/>
      <c r="I77" s="3"/>
      <c r="J77" s="3"/>
      <c r="K77" s="2" t="s">
        <v>116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 t="s">
        <v>65</v>
      </c>
      <c r="B78" s="1" t="s">
        <v>97</v>
      </c>
      <c r="C78" s="1">
        <v>1.59</v>
      </c>
      <c r="D78" s="3"/>
      <c r="E78" s="3"/>
      <c r="F78" s="3"/>
      <c r="G78" s="3"/>
      <c r="H78" s="3"/>
      <c r="I78" s="3"/>
      <c r="J78" s="3"/>
      <c r="K78" s="2" t="s">
        <v>116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 t="s">
        <v>65</v>
      </c>
      <c r="B79" s="1" t="s">
        <v>101</v>
      </c>
      <c r="C79" s="1">
        <v>0.98</v>
      </c>
      <c r="D79" s="3"/>
      <c r="E79" s="3"/>
      <c r="F79" s="3"/>
      <c r="G79" s="3"/>
      <c r="H79" s="3"/>
      <c r="I79" s="3"/>
      <c r="J79" s="3"/>
      <c r="K79" s="2" t="s">
        <v>116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 t="s">
        <v>65</v>
      </c>
      <c r="B80" s="1" t="s">
        <v>103</v>
      </c>
      <c r="C80" s="3"/>
      <c r="D80" s="3"/>
      <c r="E80" s="3"/>
      <c r="F80" s="3"/>
      <c r="G80" s="3"/>
      <c r="H80" s="3"/>
      <c r="I80" s="3"/>
      <c r="J80" s="3"/>
      <c r="K80" s="2" t="s">
        <v>116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 t="s">
        <v>65</v>
      </c>
      <c r="B81" s="1" t="s">
        <v>105</v>
      </c>
      <c r="C81" s="3"/>
      <c r="D81" s="3"/>
      <c r="E81" s="3"/>
      <c r="F81" s="3"/>
      <c r="G81" s="3"/>
      <c r="H81" s="3"/>
      <c r="I81" s="3"/>
      <c r="J81" s="3"/>
      <c r="K81" s="2" t="s">
        <v>116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 t="s">
        <v>67</v>
      </c>
      <c r="B82" s="1" t="s">
        <v>97</v>
      </c>
      <c r="C82" s="1">
        <v>2.29</v>
      </c>
      <c r="D82" s="3"/>
      <c r="E82" s="3"/>
      <c r="F82" s="3"/>
      <c r="G82" s="3"/>
      <c r="H82" s="3"/>
      <c r="I82" s="3"/>
      <c r="J82" s="3"/>
      <c r="K82" s="2" t="s">
        <v>116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 t="s">
        <v>67</v>
      </c>
      <c r="B83" s="1" t="s">
        <v>101</v>
      </c>
      <c r="C83" s="1">
        <v>1.98</v>
      </c>
      <c r="D83" s="3"/>
      <c r="E83" s="3"/>
      <c r="F83" s="3"/>
      <c r="G83" s="3"/>
      <c r="H83" s="3"/>
      <c r="I83" s="3"/>
      <c r="J83" s="3"/>
      <c r="K83" s="2" t="s">
        <v>116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 t="s">
        <v>67</v>
      </c>
      <c r="B84" s="1" t="s">
        <v>103</v>
      </c>
      <c r="C84" s="3"/>
      <c r="D84" s="3"/>
      <c r="E84" s="3"/>
      <c r="F84" s="3"/>
      <c r="G84" s="3"/>
      <c r="H84" s="3"/>
      <c r="I84" s="3"/>
      <c r="J84" s="3"/>
      <c r="K84" s="2" t="s">
        <v>116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 t="s">
        <v>67</v>
      </c>
      <c r="B85" s="1" t="s">
        <v>105</v>
      </c>
      <c r="C85" s="3"/>
      <c r="D85" s="3"/>
      <c r="E85" s="3"/>
      <c r="F85" s="3"/>
      <c r="G85" s="3"/>
      <c r="H85" s="3"/>
      <c r="I85" s="3"/>
      <c r="J85" s="3"/>
      <c r="K85" s="2" t="s">
        <v>116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 t="s">
        <v>69</v>
      </c>
      <c r="B86" s="1" t="s">
        <v>97</v>
      </c>
      <c r="C86" s="1">
        <v>4.49</v>
      </c>
      <c r="D86" s="3"/>
      <c r="E86" s="3"/>
      <c r="F86" s="3"/>
      <c r="G86" s="3"/>
      <c r="H86" s="3"/>
      <c r="I86" s="3"/>
      <c r="J86" s="3"/>
      <c r="K86" s="2" t="s">
        <v>116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 t="s">
        <v>69</v>
      </c>
      <c r="B87" s="1" t="s">
        <v>101</v>
      </c>
      <c r="C87" s="1">
        <v>3.94</v>
      </c>
      <c r="D87" s="3"/>
      <c r="E87" s="3"/>
      <c r="F87" s="3"/>
      <c r="G87" s="3"/>
      <c r="H87" s="3"/>
      <c r="I87" s="3"/>
      <c r="J87" s="3"/>
      <c r="K87" s="2" t="s">
        <v>116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 t="s">
        <v>69</v>
      </c>
      <c r="B88" s="1" t="s">
        <v>103</v>
      </c>
      <c r="C88" s="3"/>
      <c r="D88" s="3"/>
      <c r="E88" s="3"/>
      <c r="F88" s="3"/>
      <c r="G88" s="3"/>
      <c r="H88" s="3"/>
      <c r="I88" s="3"/>
      <c r="J88" s="3"/>
      <c r="K88" s="2" t="s">
        <v>116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 t="s">
        <v>69</v>
      </c>
      <c r="B89" s="1" t="s">
        <v>105</v>
      </c>
      <c r="C89" s="3"/>
      <c r="D89" s="3"/>
      <c r="E89" s="3"/>
      <c r="F89" s="3"/>
      <c r="G89" s="3"/>
      <c r="H89" s="3"/>
      <c r="I89" s="3"/>
      <c r="J89" s="3"/>
      <c r="K89" s="2" t="s">
        <v>116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 t="s">
        <v>71</v>
      </c>
      <c r="B90" s="1" t="s">
        <v>97</v>
      </c>
      <c r="C90" s="1">
        <v>1.0</v>
      </c>
      <c r="D90" s="3"/>
      <c r="E90" s="3"/>
      <c r="F90" s="3"/>
      <c r="G90" s="3"/>
      <c r="H90" s="3"/>
      <c r="I90" s="3"/>
      <c r="J90" s="3"/>
      <c r="K90" s="2" t="s">
        <v>116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 t="s">
        <v>71</v>
      </c>
      <c r="B91" s="1" t="s">
        <v>101</v>
      </c>
      <c r="C91" s="1">
        <v>1.14</v>
      </c>
      <c r="D91" s="3"/>
      <c r="E91" s="3"/>
      <c r="F91" s="3"/>
      <c r="G91" s="3"/>
      <c r="H91" s="3"/>
      <c r="I91" s="3"/>
      <c r="J91" s="3"/>
      <c r="K91" s="2" t="s">
        <v>116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 t="s">
        <v>71</v>
      </c>
      <c r="B92" s="1" t="s">
        <v>103</v>
      </c>
      <c r="C92" s="3"/>
      <c r="D92" s="3"/>
      <c r="E92" s="3"/>
      <c r="F92" s="3"/>
      <c r="G92" s="3"/>
      <c r="H92" s="3"/>
      <c r="I92" s="3"/>
      <c r="J92" s="3"/>
      <c r="K92" s="2" t="s">
        <v>116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 t="s">
        <v>71</v>
      </c>
      <c r="B93" s="1" t="s">
        <v>105</v>
      </c>
      <c r="C93" s="3"/>
      <c r="D93" s="3"/>
      <c r="E93" s="3"/>
      <c r="F93" s="3"/>
      <c r="G93" s="3"/>
      <c r="H93" s="3"/>
      <c r="I93" s="3"/>
      <c r="J93" s="3"/>
      <c r="K93" s="2" t="s">
        <v>116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 t="s">
        <v>73</v>
      </c>
      <c r="B94" s="1" t="s">
        <v>97</v>
      </c>
      <c r="C94" s="1">
        <v>1.0</v>
      </c>
      <c r="D94" s="3"/>
      <c r="E94" s="3"/>
      <c r="F94" s="3"/>
      <c r="G94" s="3"/>
      <c r="H94" s="3"/>
      <c r="I94" s="3"/>
      <c r="J94" s="3"/>
      <c r="K94" s="2" t="s">
        <v>116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 t="s">
        <v>73</v>
      </c>
      <c r="B95" s="1" t="s">
        <v>101</v>
      </c>
      <c r="C95" s="1">
        <v>1.92</v>
      </c>
      <c r="D95" s="3"/>
      <c r="E95" s="3"/>
      <c r="F95" s="3"/>
      <c r="G95" s="3"/>
      <c r="H95" s="3"/>
      <c r="I95" s="3"/>
      <c r="J95" s="3"/>
      <c r="K95" s="2" t="s">
        <v>116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 t="s">
        <v>73</v>
      </c>
      <c r="B96" s="1" t="s">
        <v>103</v>
      </c>
      <c r="C96" s="3"/>
      <c r="D96" s="3"/>
      <c r="E96" s="3"/>
      <c r="F96" s="3"/>
      <c r="G96" s="3"/>
      <c r="H96" s="3"/>
      <c r="I96" s="3"/>
      <c r="J96" s="3"/>
      <c r="K96" s="2" t="s">
        <v>116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 t="s">
        <v>73</v>
      </c>
      <c r="B97" s="1" t="s">
        <v>105</v>
      </c>
      <c r="C97" s="3"/>
      <c r="D97" s="3"/>
      <c r="E97" s="3"/>
      <c r="F97" s="3"/>
      <c r="G97" s="3"/>
      <c r="H97" s="3"/>
      <c r="I97" s="3"/>
      <c r="J97" s="3"/>
      <c r="K97" s="2" t="s">
        <v>116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 t="s">
        <v>75</v>
      </c>
      <c r="B98" s="1" t="s">
        <v>97</v>
      </c>
      <c r="C98" s="1">
        <v>11.99</v>
      </c>
      <c r="D98" s="3"/>
      <c r="E98" s="3"/>
      <c r="F98" s="3"/>
      <c r="G98" s="3"/>
      <c r="H98" s="3"/>
      <c r="I98" s="3"/>
      <c r="J98" s="3"/>
      <c r="K98" s="2" t="s">
        <v>116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 t="s">
        <v>75</v>
      </c>
      <c r="B99" s="1" t="s">
        <v>101</v>
      </c>
      <c r="C99" s="1">
        <v>6.28</v>
      </c>
      <c r="D99" s="3"/>
      <c r="E99" s="3"/>
      <c r="F99" s="3"/>
      <c r="G99" s="3"/>
      <c r="H99" s="3"/>
      <c r="I99" s="3"/>
      <c r="J99" s="3"/>
      <c r="K99" s="2" t="s">
        <v>116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 t="s">
        <v>75</v>
      </c>
      <c r="B100" s="1" t="s">
        <v>103</v>
      </c>
      <c r="C100" s="3"/>
      <c r="D100" s="3"/>
      <c r="E100" s="3"/>
      <c r="F100" s="3"/>
      <c r="G100" s="3"/>
      <c r="H100" s="3"/>
      <c r="I100" s="3"/>
      <c r="J100" s="3"/>
      <c r="K100" s="2" t="s">
        <v>116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 t="s">
        <v>75</v>
      </c>
      <c r="B101" s="1" t="s">
        <v>105</v>
      </c>
      <c r="C101" s="3"/>
      <c r="D101" s="3"/>
      <c r="E101" s="3"/>
      <c r="F101" s="3"/>
      <c r="G101" s="3"/>
      <c r="H101" s="3"/>
      <c r="I101" s="3"/>
      <c r="J101" s="3"/>
      <c r="K101" s="2" t="s">
        <v>116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 t="s">
        <v>79</v>
      </c>
      <c r="B102" s="1" t="s">
        <v>97</v>
      </c>
      <c r="C102" s="1">
        <v>11.99</v>
      </c>
      <c r="D102" s="2">
        <v>15.0</v>
      </c>
      <c r="E102" s="3"/>
      <c r="F102" s="3"/>
      <c r="G102" s="3"/>
      <c r="H102" s="3"/>
      <c r="I102" s="3"/>
      <c r="J102" s="2">
        <f t="shared" ref="J102:J103" si="3">C102/D102</f>
        <v>0.7993333333</v>
      </c>
      <c r="K102" s="2" t="s">
        <v>116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 t="s">
        <v>79</v>
      </c>
      <c r="B103" s="1" t="s">
        <v>101</v>
      </c>
      <c r="C103" s="1">
        <v>18.0</v>
      </c>
      <c r="D103" s="2">
        <v>12.0</v>
      </c>
      <c r="E103" s="3"/>
      <c r="F103" s="3"/>
      <c r="G103" s="3"/>
      <c r="H103" s="3"/>
      <c r="I103" s="3"/>
      <c r="J103" s="2">
        <f t="shared" si="3"/>
        <v>1.5</v>
      </c>
      <c r="K103" s="2" t="s">
        <v>116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 t="s">
        <v>79</v>
      </c>
      <c r="B104" s="1" t="s">
        <v>103</v>
      </c>
      <c r="C104" s="3"/>
      <c r="D104" s="3"/>
      <c r="E104" s="3"/>
      <c r="F104" s="3"/>
      <c r="G104" s="3"/>
      <c r="H104" s="3"/>
      <c r="I104" s="3"/>
      <c r="J104" s="3"/>
      <c r="K104" s="2" t="s">
        <v>116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 t="s">
        <v>79</v>
      </c>
      <c r="B105" s="1" t="s">
        <v>105</v>
      </c>
      <c r="C105" s="3"/>
      <c r="D105" s="3"/>
      <c r="E105" s="3"/>
      <c r="F105" s="3"/>
      <c r="G105" s="3"/>
      <c r="H105" s="3"/>
      <c r="I105" s="3"/>
      <c r="J105" s="3"/>
      <c r="K105" s="2" t="s">
        <v>116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 t="s">
        <v>82</v>
      </c>
      <c r="B106" s="1" t="s">
        <v>97</v>
      </c>
      <c r="C106" s="1">
        <v>3.69</v>
      </c>
      <c r="D106" s="3"/>
      <c r="E106" s="3"/>
      <c r="F106" s="3"/>
      <c r="G106" s="3"/>
      <c r="H106" s="3"/>
      <c r="I106" s="3"/>
      <c r="J106" s="3"/>
      <c r="K106" s="2" t="s">
        <v>116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 t="s">
        <v>82</v>
      </c>
      <c r="B107" s="1" t="s">
        <v>101</v>
      </c>
      <c r="C107" s="1">
        <v>3.68</v>
      </c>
      <c r="D107" s="3"/>
      <c r="E107" s="3"/>
      <c r="F107" s="3"/>
      <c r="G107" s="3"/>
      <c r="H107" s="3"/>
      <c r="I107" s="3"/>
      <c r="J107" s="3"/>
      <c r="K107" s="2" t="s">
        <v>116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 t="s">
        <v>82</v>
      </c>
      <c r="B108" s="1" t="s">
        <v>103</v>
      </c>
      <c r="C108" s="3"/>
      <c r="D108" s="3"/>
      <c r="E108" s="3"/>
      <c r="F108" s="3"/>
      <c r="G108" s="3"/>
      <c r="H108" s="3"/>
      <c r="I108" s="3"/>
      <c r="J108" s="3"/>
      <c r="K108" s="2" t="s">
        <v>116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 t="s">
        <v>82</v>
      </c>
      <c r="B109" s="1" t="s">
        <v>105</v>
      </c>
      <c r="C109" s="3"/>
      <c r="D109" s="3"/>
      <c r="E109" s="3"/>
      <c r="F109" s="3"/>
      <c r="G109" s="3"/>
      <c r="H109" s="3"/>
      <c r="I109" s="3"/>
      <c r="J109" s="3"/>
      <c r="K109" s="2" t="s">
        <v>116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 t="s">
        <v>84</v>
      </c>
      <c r="B110" s="1" t="s">
        <v>97</v>
      </c>
      <c r="C110" s="1">
        <v>13.99</v>
      </c>
      <c r="D110" s="2">
        <v>29.0</v>
      </c>
      <c r="E110" s="3"/>
      <c r="F110" s="3"/>
      <c r="G110" s="3"/>
      <c r="H110" s="3"/>
      <c r="I110" s="3"/>
      <c r="J110" s="2">
        <f t="shared" ref="J110:J111" si="4">C110/D110</f>
        <v>0.4824137931</v>
      </c>
      <c r="K110" s="2" t="s">
        <v>116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 t="s">
        <v>84</v>
      </c>
      <c r="B111" s="1" t="s">
        <v>101</v>
      </c>
      <c r="C111" s="1">
        <v>14.96</v>
      </c>
      <c r="D111" s="2">
        <v>25.9</v>
      </c>
      <c r="E111" s="3"/>
      <c r="F111" s="3"/>
      <c r="G111" s="3"/>
      <c r="H111" s="3"/>
      <c r="I111" s="3"/>
      <c r="J111" s="2">
        <f t="shared" si="4"/>
        <v>0.5776061776</v>
      </c>
      <c r="K111" s="2" t="s">
        <v>116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 t="s">
        <v>84</v>
      </c>
      <c r="B112" s="1" t="s">
        <v>103</v>
      </c>
      <c r="C112" s="3"/>
      <c r="D112" s="3"/>
      <c r="E112" s="3"/>
      <c r="F112" s="3"/>
      <c r="G112" s="3"/>
      <c r="H112" s="3"/>
      <c r="I112" s="3"/>
      <c r="J112" s="3"/>
      <c r="K112" s="2" t="s">
        <v>116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 t="s">
        <v>84</v>
      </c>
      <c r="B113" s="1" t="s">
        <v>105</v>
      </c>
      <c r="C113" s="3"/>
      <c r="D113" s="3"/>
      <c r="E113" s="3"/>
      <c r="F113" s="3"/>
      <c r="G113" s="3"/>
      <c r="H113" s="3"/>
      <c r="I113" s="3"/>
      <c r="J113" s="3"/>
      <c r="K113" s="2" t="s">
        <v>116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 t="s">
        <v>86</v>
      </c>
      <c r="B114" s="1" t="s">
        <v>97</v>
      </c>
      <c r="C114" s="1">
        <v>10.99</v>
      </c>
      <c r="D114" s="3"/>
      <c r="E114" s="3"/>
      <c r="F114" s="3"/>
      <c r="G114" s="3"/>
      <c r="H114" s="3"/>
      <c r="I114" s="3"/>
      <c r="J114" s="3"/>
      <c r="K114" s="2" t="s">
        <v>116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 t="s">
        <v>86</v>
      </c>
      <c r="B115" s="1" t="s">
        <v>101</v>
      </c>
      <c r="C115" s="1">
        <v>12.9</v>
      </c>
      <c r="D115" s="3"/>
      <c r="E115" s="3"/>
      <c r="F115" s="3"/>
      <c r="G115" s="3"/>
      <c r="H115" s="3"/>
      <c r="I115" s="3"/>
      <c r="J115" s="3"/>
      <c r="K115" s="2" t="s">
        <v>116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 t="s">
        <v>86</v>
      </c>
      <c r="B116" s="1" t="s">
        <v>103</v>
      </c>
      <c r="C116" s="3"/>
      <c r="D116" s="3"/>
      <c r="E116" s="3"/>
      <c r="F116" s="3"/>
      <c r="G116" s="3"/>
      <c r="H116" s="3"/>
      <c r="I116" s="3"/>
      <c r="J116" s="3"/>
      <c r="K116" s="2" t="s">
        <v>116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 t="s">
        <v>86</v>
      </c>
      <c r="B117" s="1" t="s">
        <v>105</v>
      </c>
      <c r="C117" s="3"/>
      <c r="D117" s="3"/>
      <c r="E117" s="3"/>
      <c r="F117" s="3"/>
      <c r="G117" s="3"/>
      <c r="H117" s="3"/>
      <c r="I117" s="3"/>
      <c r="J117" s="3"/>
      <c r="K117" s="2" t="s">
        <v>116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 t="s">
        <v>91</v>
      </c>
      <c r="B118" s="1" t="s">
        <v>97</v>
      </c>
      <c r="C118" s="1">
        <v>5.0</v>
      </c>
      <c r="D118" s="3"/>
      <c r="E118" s="3"/>
      <c r="F118" s="3"/>
      <c r="G118" s="3"/>
      <c r="H118" s="3"/>
      <c r="I118" s="3"/>
      <c r="J118" s="3"/>
      <c r="K118" s="2" t="s">
        <v>116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 t="s">
        <v>91</v>
      </c>
      <c r="B119" s="1" t="s">
        <v>101</v>
      </c>
      <c r="C119" s="1">
        <v>8.47</v>
      </c>
      <c r="D119" s="3"/>
      <c r="E119" s="3"/>
      <c r="F119" s="3"/>
      <c r="G119" s="3"/>
      <c r="H119" s="3"/>
      <c r="I119" s="3"/>
      <c r="J119" s="3"/>
      <c r="K119" s="2" t="s">
        <v>116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 t="s">
        <v>91</v>
      </c>
      <c r="B120" s="1" t="s">
        <v>103</v>
      </c>
      <c r="C120" s="3"/>
      <c r="D120" s="3"/>
      <c r="E120" s="3"/>
      <c r="F120" s="3"/>
      <c r="G120" s="3"/>
      <c r="H120" s="3"/>
      <c r="I120" s="3"/>
      <c r="J120" s="3"/>
      <c r="K120" s="2" t="s">
        <v>116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 t="s">
        <v>91</v>
      </c>
      <c r="B121" s="1" t="s">
        <v>105</v>
      </c>
      <c r="C121" s="3"/>
      <c r="D121" s="3"/>
      <c r="E121" s="3"/>
      <c r="F121" s="3"/>
      <c r="G121" s="3"/>
      <c r="H121" s="3"/>
      <c r="I121" s="3"/>
      <c r="J121" s="3"/>
      <c r="K121" s="2" t="s">
        <v>116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118</v>
      </c>
    </row>
    <row r="3">
      <c r="A3" s="2" t="s">
        <v>119</v>
      </c>
      <c r="B3" s="2" t="s">
        <v>120</v>
      </c>
    </row>
    <row r="4">
      <c r="A4" s="2" t="s">
        <v>121</v>
      </c>
      <c r="B4" s="2">
        <v>30.0</v>
      </c>
    </row>
    <row r="5">
      <c r="A5" s="2" t="s">
        <v>122</v>
      </c>
      <c r="B5" s="2">
        <v>2.0</v>
      </c>
    </row>
    <row r="6">
      <c r="A6" s="2" t="s">
        <v>123</v>
      </c>
      <c r="B6" s="2" t="s">
        <v>124</v>
      </c>
    </row>
    <row r="9">
      <c r="A9" s="5" t="s">
        <v>125</v>
      </c>
      <c r="B9" s="5" t="s">
        <v>98</v>
      </c>
      <c r="C9" s="5" t="s">
        <v>102</v>
      </c>
      <c r="D9" s="5" t="s">
        <v>126</v>
      </c>
    </row>
    <row r="10">
      <c r="A10" s="2" t="s">
        <v>9</v>
      </c>
      <c r="B10" s="2">
        <v>3.19</v>
      </c>
      <c r="C10" s="2">
        <v>2.58</v>
      </c>
      <c r="D10" s="2" t="s">
        <v>102</v>
      </c>
    </row>
    <row r="11">
      <c r="A11" s="2" t="s">
        <v>15</v>
      </c>
      <c r="B11" s="2">
        <v>2.09</v>
      </c>
      <c r="C11" s="2">
        <v>1.47</v>
      </c>
      <c r="D11" s="2" t="s">
        <v>102</v>
      </c>
    </row>
    <row r="12">
      <c r="A12" s="2" t="s">
        <v>19</v>
      </c>
      <c r="B12" s="2">
        <v>3.49</v>
      </c>
      <c r="C12" s="2">
        <v>3.06</v>
      </c>
      <c r="D12" s="2" t="s">
        <v>102</v>
      </c>
    </row>
    <row r="13">
      <c r="A13" s="2" t="s">
        <v>23</v>
      </c>
      <c r="B13" s="2">
        <v>3.69</v>
      </c>
      <c r="C13" s="2">
        <v>3.58</v>
      </c>
      <c r="D13" s="2" t="s">
        <v>102</v>
      </c>
    </row>
    <row r="14">
      <c r="A14" s="2" t="s">
        <v>29</v>
      </c>
      <c r="B14" s="2">
        <v>1.99</v>
      </c>
      <c r="C14" s="2">
        <v>2.47</v>
      </c>
      <c r="D14" s="2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127</v>
      </c>
    </row>
    <row r="3">
      <c r="A3" s="5" t="s">
        <v>0</v>
      </c>
      <c r="B3" s="5" t="s">
        <v>125</v>
      </c>
      <c r="C3" s="5" t="s">
        <v>98</v>
      </c>
      <c r="D3" s="5" t="s">
        <v>102</v>
      </c>
      <c r="E3" s="5" t="s">
        <v>126</v>
      </c>
    </row>
    <row r="4">
      <c r="A4" s="2" t="s">
        <v>8</v>
      </c>
      <c r="B4" s="2" t="s">
        <v>9</v>
      </c>
      <c r="C4" s="2">
        <f>SUMIFS(Prices!C:C,Prices!A:A,A4,Prices!B:B,"S001")</f>
        <v>3.19</v>
      </c>
      <c r="D4" s="2">
        <f>SUMIFS(Prices!C:C,Prices!A:A,A4,Prices!B:B,"S002")</f>
        <v>2.58</v>
      </c>
      <c r="E4" s="2" t="str">
        <f t="shared" ref="E4:E33" si="1">IF(C4=D4,"Tie",IF(C4&lt;D4,"Fry's","Walmart"))</f>
        <v>Walmart</v>
      </c>
    </row>
    <row r="5">
      <c r="A5" s="2" t="s">
        <v>14</v>
      </c>
      <c r="B5" s="2" t="s">
        <v>15</v>
      </c>
      <c r="C5" s="2">
        <f>SUMIFS(Prices!C:C,Prices!A:A,A5,Prices!B:B,"S001")</f>
        <v>2.09</v>
      </c>
      <c r="D5" s="2">
        <f>SUMIFS(Prices!C:C,Prices!A:A,A5,Prices!B:B,"S002")</f>
        <v>1.47</v>
      </c>
      <c r="E5" s="2" t="str">
        <f t="shared" si="1"/>
        <v>Walmart</v>
      </c>
    </row>
    <row r="6">
      <c r="A6" s="2" t="s">
        <v>18</v>
      </c>
      <c r="B6" s="2" t="s">
        <v>19</v>
      </c>
      <c r="C6" s="2">
        <f>SUMIFS(Prices!C:C,Prices!A:A,A6,Prices!B:B,"S001")</f>
        <v>3.49</v>
      </c>
      <c r="D6" s="2">
        <f>SUMIFS(Prices!C:C,Prices!A:A,A6,Prices!B:B,"S002")</f>
        <v>3.06</v>
      </c>
      <c r="E6" s="2" t="str">
        <f t="shared" si="1"/>
        <v>Walmart</v>
      </c>
    </row>
    <row r="7">
      <c r="A7" s="2" t="s">
        <v>22</v>
      </c>
      <c r="B7" s="2" t="s">
        <v>23</v>
      </c>
      <c r="C7" s="2">
        <f>SUMIFS(Prices!C:C,Prices!A:A,A7,Prices!B:B,"S001")</f>
        <v>3.69</v>
      </c>
      <c r="D7" s="2">
        <f>SUMIFS(Prices!C:C,Prices!A:A,A7,Prices!B:B,"S002")</f>
        <v>3.58</v>
      </c>
      <c r="E7" s="2" t="str">
        <f t="shared" si="1"/>
        <v>Walmart</v>
      </c>
    </row>
    <row r="8">
      <c r="A8" s="2" t="s">
        <v>25</v>
      </c>
      <c r="B8" s="2" t="s">
        <v>26</v>
      </c>
      <c r="C8" s="2">
        <f>SUMIFS(Prices!C:C,Prices!A:A,A8,Prices!B:B,"S001")</f>
        <v>4.99</v>
      </c>
      <c r="D8" s="2">
        <f>SUMIFS(Prices!C:C,Prices!A:A,A8,Prices!B:B,"S002")</f>
        <v>3.28</v>
      </c>
      <c r="E8" s="2" t="str">
        <f t="shared" si="1"/>
        <v>Walmart</v>
      </c>
    </row>
    <row r="9">
      <c r="A9" s="2" t="s">
        <v>28</v>
      </c>
      <c r="B9" s="2" t="s">
        <v>29</v>
      </c>
      <c r="C9" s="2">
        <f>SUMIFS(Prices!C:C,Prices!A:A,A9,Prices!B:B,"S001")</f>
        <v>1.99</v>
      </c>
      <c r="D9" s="2">
        <f>SUMIFS(Prices!C:C,Prices!A:A,A9,Prices!B:B,"S002")</f>
        <v>2.47</v>
      </c>
      <c r="E9" s="2" t="str">
        <f t="shared" si="1"/>
        <v>Fry's</v>
      </c>
    </row>
    <row r="10">
      <c r="A10" s="2" t="s">
        <v>31</v>
      </c>
      <c r="B10" s="2" t="s">
        <v>32</v>
      </c>
      <c r="C10" s="2">
        <f>SUMIFS(Prices!C:C,Prices!A:A,A10,Prices!B:B,"S001")</f>
        <v>1.99</v>
      </c>
      <c r="D10" s="2">
        <f>SUMIFS(Prices!C:C,Prices!A:A,A10,Prices!B:B,"S002")</f>
        <v>1.97</v>
      </c>
      <c r="E10" s="2" t="str">
        <f t="shared" si="1"/>
        <v>Walmart</v>
      </c>
    </row>
    <row r="11">
      <c r="A11" s="2" t="s">
        <v>33</v>
      </c>
      <c r="B11" s="2" t="s">
        <v>34</v>
      </c>
      <c r="C11" s="2">
        <f>SUMIFS(Prices!C:C,Prices!A:A,A11,Prices!B:B,"S001")</f>
        <v>0</v>
      </c>
      <c r="D11" s="2">
        <f>SUMIFS(Prices!C:C,Prices!A:A,A11,Prices!B:B,"S002")</f>
        <v>1.99</v>
      </c>
      <c r="E11" s="2" t="str">
        <f t="shared" si="1"/>
        <v>Fry's</v>
      </c>
    </row>
    <row r="12">
      <c r="A12" s="2" t="s">
        <v>36</v>
      </c>
      <c r="B12" s="2" t="s">
        <v>37</v>
      </c>
      <c r="C12" s="2">
        <f>SUMIFS(Prices!C:C,Prices!A:A,A12,Prices!B:B,"S001")</f>
        <v>0.29</v>
      </c>
      <c r="D12" s="2">
        <f>SUMIFS(Prices!C:C,Prices!A:A,A12,Prices!B:B,"S002")</f>
        <v>0.5</v>
      </c>
      <c r="E12" s="2" t="str">
        <f t="shared" si="1"/>
        <v>Fry's</v>
      </c>
    </row>
    <row r="13">
      <c r="A13" s="2" t="s">
        <v>39</v>
      </c>
      <c r="B13" s="2" t="s">
        <v>40</v>
      </c>
      <c r="C13" s="2">
        <f>SUMIFS(Prices!C:C,Prices!A:A,A13,Prices!B:B,"S001")</f>
        <v>3.99</v>
      </c>
      <c r="D13" s="2">
        <f>SUMIFS(Prices!C:C,Prices!A:A,A13,Prices!B:B,"S002")</f>
        <v>3.24</v>
      </c>
      <c r="E13" s="2" t="str">
        <f t="shared" si="1"/>
        <v>Walmart</v>
      </c>
    </row>
    <row r="14">
      <c r="A14" s="2" t="s">
        <v>41</v>
      </c>
      <c r="B14" s="2" t="s">
        <v>42</v>
      </c>
      <c r="C14" s="2">
        <f>SUMIFS(Prices!C:C,Prices!A:A,A14,Prices!B:B,"S001")</f>
        <v>2.5</v>
      </c>
      <c r="D14" s="2">
        <f>SUMIFS(Prices!C:C,Prices!A:A,A14,Prices!B:B,"S002")</f>
        <v>0.99</v>
      </c>
      <c r="E14" s="2" t="str">
        <f t="shared" si="1"/>
        <v>Walmart</v>
      </c>
    </row>
    <row r="15">
      <c r="A15" s="2" t="s">
        <v>45</v>
      </c>
      <c r="B15" s="2" t="s">
        <v>46</v>
      </c>
      <c r="C15" s="2">
        <f>SUMIFS(Prices!C:C,Prices!A:A,A15,Prices!B:B,"S001")</f>
        <v>1.49</v>
      </c>
      <c r="D15" s="2">
        <f>SUMIFS(Prices!C:C,Prices!A:A,A15,Prices!B:B,"S002")</f>
        <v>0.97</v>
      </c>
      <c r="E15" s="2" t="str">
        <f t="shared" si="1"/>
        <v>Walmart</v>
      </c>
    </row>
    <row r="16">
      <c r="A16" s="2" t="s">
        <v>47</v>
      </c>
      <c r="B16" s="2" t="s">
        <v>48</v>
      </c>
      <c r="C16" s="2">
        <f>SUMIFS(Prices!C:C,Prices!A:A,A16,Prices!B:B,"S001")</f>
        <v>2.49</v>
      </c>
      <c r="D16" s="2">
        <f>SUMIFS(Prices!C:C,Prices!A:A,A16,Prices!B:B,"S002")</f>
        <v>2.28</v>
      </c>
      <c r="E16" s="2" t="str">
        <f t="shared" si="1"/>
        <v>Walmart</v>
      </c>
    </row>
    <row r="17">
      <c r="A17" s="2" t="s">
        <v>51</v>
      </c>
      <c r="B17" s="2" t="s">
        <v>52</v>
      </c>
      <c r="C17" s="2">
        <f>SUMIFS(Prices!C:C,Prices!A:A,A17,Prices!B:B,"S001")</f>
        <v>0.79</v>
      </c>
      <c r="D17" s="2">
        <f>SUMIFS(Prices!C:C,Prices!A:A,A17,Prices!B:B,"S002")</f>
        <v>1</v>
      </c>
      <c r="E17" s="2" t="str">
        <f t="shared" si="1"/>
        <v>Fry's</v>
      </c>
    </row>
    <row r="18">
      <c r="A18" s="2" t="s">
        <v>53</v>
      </c>
      <c r="B18" s="2" t="s">
        <v>54</v>
      </c>
      <c r="C18" s="2">
        <f>SUMIFS(Prices!C:C,Prices!A:A,A18,Prices!B:B,"S001")</f>
        <v>6.99</v>
      </c>
      <c r="D18" s="2">
        <f>SUMIFS(Prices!C:C,Prices!A:A,A18,Prices!B:B,"S002")</f>
        <v>2.57</v>
      </c>
      <c r="E18" s="2" t="str">
        <f t="shared" si="1"/>
        <v>Walmart</v>
      </c>
    </row>
    <row r="19">
      <c r="A19" s="2" t="s">
        <v>56</v>
      </c>
      <c r="B19" s="2" t="s">
        <v>57</v>
      </c>
      <c r="C19" s="2">
        <f>SUMIFS(Prices!C:C,Prices!A:A,A19,Prices!B:B,"S001")</f>
        <v>7.99</v>
      </c>
      <c r="D19" s="2">
        <f>SUMIFS(Prices!C:C,Prices!A:A,A19,Prices!B:B,"S002")</f>
        <v>7.97</v>
      </c>
      <c r="E19" s="2" t="str">
        <f t="shared" si="1"/>
        <v>Walmart</v>
      </c>
    </row>
    <row r="20">
      <c r="A20" s="2" t="s">
        <v>58</v>
      </c>
      <c r="B20" s="2" t="s">
        <v>59</v>
      </c>
      <c r="C20" s="2">
        <f>SUMIFS(Prices!C:C,Prices!A:A,A20,Prices!B:B,"S001")</f>
        <v>3.99</v>
      </c>
      <c r="D20" s="2">
        <f>SUMIFS(Prices!C:C,Prices!A:A,A20,Prices!B:B,"S002")</f>
        <v>3.94</v>
      </c>
      <c r="E20" s="2" t="str">
        <f t="shared" si="1"/>
        <v>Walmart</v>
      </c>
    </row>
    <row r="21" ht="15.75" customHeight="1">
      <c r="A21" s="2" t="s">
        <v>60</v>
      </c>
      <c r="B21" s="2" t="s">
        <v>61</v>
      </c>
      <c r="C21" s="2">
        <f>SUMIFS(Prices!C:C,Prices!A:A,A21,Prices!B:B,"S001")</f>
        <v>12.99</v>
      </c>
      <c r="D21" s="2">
        <f>SUMIFS(Prices!C:C,Prices!A:A,A21,Prices!B:B,"S002")</f>
        <v>5.97</v>
      </c>
      <c r="E21" s="2" t="str">
        <f t="shared" si="1"/>
        <v>Walmart</v>
      </c>
    </row>
    <row r="22" ht="15.75" customHeight="1">
      <c r="A22" s="2" t="s">
        <v>62</v>
      </c>
      <c r="B22" s="2" t="s">
        <v>63</v>
      </c>
      <c r="C22" s="2">
        <f>SUMIFS(Prices!C:C,Prices!A:A,A22,Prices!B:B,"S001")</f>
        <v>5.99</v>
      </c>
      <c r="D22" s="2">
        <f>SUMIFS(Prices!C:C,Prices!A:A,A22,Prices!B:B,"S002")</f>
        <v>3.37</v>
      </c>
      <c r="E22" s="2" t="str">
        <f t="shared" si="1"/>
        <v>Walmart</v>
      </c>
    </row>
    <row r="23" ht="15.75" customHeight="1">
      <c r="A23" s="2" t="s">
        <v>65</v>
      </c>
      <c r="B23" s="2" t="s">
        <v>66</v>
      </c>
      <c r="C23" s="2">
        <f>SUMIFS(Prices!C:C,Prices!A:A,A23,Prices!B:B,"S001")</f>
        <v>1.59</v>
      </c>
      <c r="D23" s="2">
        <f>SUMIFS(Prices!C:C,Prices!A:A,A23,Prices!B:B,"S002")</f>
        <v>0.98</v>
      </c>
      <c r="E23" s="2" t="str">
        <f t="shared" si="1"/>
        <v>Walmart</v>
      </c>
    </row>
    <row r="24" ht="15.75" customHeight="1">
      <c r="A24" s="2" t="s">
        <v>67</v>
      </c>
      <c r="B24" s="2" t="s">
        <v>68</v>
      </c>
      <c r="C24" s="2">
        <f>SUMIFS(Prices!C:C,Prices!A:A,A24,Prices!B:B,"S001")</f>
        <v>2.29</v>
      </c>
      <c r="D24" s="2">
        <f>SUMIFS(Prices!C:C,Prices!A:A,A24,Prices!B:B,"S002")</f>
        <v>1.98</v>
      </c>
      <c r="E24" s="2" t="str">
        <f t="shared" si="1"/>
        <v>Walmart</v>
      </c>
    </row>
    <row r="25" ht="15.75" customHeight="1">
      <c r="A25" s="2" t="s">
        <v>69</v>
      </c>
      <c r="B25" s="2" t="s">
        <v>70</v>
      </c>
      <c r="C25" s="2">
        <f>SUMIFS(Prices!C:C,Prices!A:A,A25,Prices!B:B,"S001")</f>
        <v>4.49</v>
      </c>
      <c r="D25" s="2">
        <f>SUMIFS(Prices!C:C,Prices!A:A,A25,Prices!B:B,"S002")</f>
        <v>3.94</v>
      </c>
      <c r="E25" s="2" t="str">
        <f t="shared" si="1"/>
        <v>Walmart</v>
      </c>
    </row>
    <row r="26" ht="15.75" customHeight="1">
      <c r="A26" s="2" t="s">
        <v>71</v>
      </c>
      <c r="B26" s="2" t="s">
        <v>72</v>
      </c>
      <c r="C26" s="2">
        <f>SUMIFS(Prices!C:C,Prices!A:A,A26,Prices!B:B,"S001")</f>
        <v>1</v>
      </c>
      <c r="D26" s="2">
        <f>SUMIFS(Prices!C:C,Prices!A:A,A26,Prices!B:B,"S002")</f>
        <v>1.14</v>
      </c>
      <c r="E26" s="2" t="str">
        <f t="shared" si="1"/>
        <v>Fry's</v>
      </c>
    </row>
    <row r="27" ht="15.75" customHeight="1">
      <c r="A27" s="2" t="s">
        <v>73</v>
      </c>
      <c r="B27" s="2" t="s">
        <v>74</v>
      </c>
      <c r="C27" s="2">
        <f>SUMIFS(Prices!C:C,Prices!A:A,A27,Prices!B:B,"S001")</f>
        <v>1</v>
      </c>
      <c r="D27" s="2">
        <f>SUMIFS(Prices!C:C,Prices!A:A,A27,Prices!B:B,"S002")</f>
        <v>1.92</v>
      </c>
      <c r="E27" s="2" t="str">
        <f t="shared" si="1"/>
        <v>Fry's</v>
      </c>
    </row>
    <row r="28" ht="15.75" customHeight="1">
      <c r="A28" s="2" t="s">
        <v>75</v>
      </c>
      <c r="B28" s="2" t="s">
        <v>76</v>
      </c>
      <c r="C28" s="2">
        <f>SUMIFS(Prices!C:C,Prices!A:A,A28,Prices!B:B,"S001")</f>
        <v>11.99</v>
      </c>
      <c r="D28" s="2">
        <f>SUMIFS(Prices!C:C,Prices!A:A,A28,Prices!B:B,"S002")</f>
        <v>6.28</v>
      </c>
      <c r="E28" s="2" t="str">
        <f t="shared" si="1"/>
        <v>Walmart</v>
      </c>
    </row>
    <row r="29" ht="15.75" customHeight="1">
      <c r="A29" s="2" t="s">
        <v>79</v>
      </c>
      <c r="B29" s="2" t="s">
        <v>80</v>
      </c>
      <c r="C29" s="2">
        <f>SUMIFS(Prices!C:C,Prices!A:A,A29,Prices!B:B,"S001")</f>
        <v>11.99</v>
      </c>
      <c r="D29" s="2">
        <f>SUMIFS(Prices!C:C,Prices!A:A,A29,Prices!B:B,"S002")</f>
        <v>18</v>
      </c>
      <c r="E29" s="2" t="str">
        <f t="shared" si="1"/>
        <v>Fry's</v>
      </c>
    </row>
    <row r="30" ht="15.75" customHeight="1">
      <c r="A30" s="2" t="s">
        <v>82</v>
      </c>
      <c r="B30" s="2" t="s">
        <v>83</v>
      </c>
      <c r="C30" s="2">
        <f>SUMIFS(Prices!C:C,Prices!A:A,A30,Prices!B:B,"S001")</f>
        <v>3.69</v>
      </c>
      <c r="D30" s="2">
        <f>SUMIFS(Prices!C:C,Prices!A:A,A30,Prices!B:B,"S002")</f>
        <v>3.68</v>
      </c>
      <c r="E30" s="2" t="str">
        <f t="shared" si="1"/>
        <v>Walmart</v>
      </c>
    </row>
    <row r="31" ht="15.75" customHeight="1">
      <c r="A31" s="2" t="s">
        <v>84</v>
      </c>
      <c r="B31" s="2" t="s">
        <v>85</v>
      </c>
      <c r="C31" s="2">
        <f>SUMIFS(Prices!C:C,Prices!A:A,A31,Prices!B:B,"S001")</f>
        <v>13.99</v>
      </c>
      <c r="D31" s="2">
        <f>SUMIFS(Prices!C:C,Prices!A:A,A31,Prices!B:B,"S002")</f>
        <v>14.96</v>
      </c>
      <c r="E31" s="2" t="str">
        <f t="shared" si="1"/>
        <v>Fry's</v>
      </c>
    </row>
    <row r="32" ht="15.75" customHeight="1">
      <c r="A32" s="2" t="s">
        <v>86</v>
      </c>
      <c r="B32" s="2" t="s">
        <v>87</v>
      </c>
      <c r="C32" s="2">
        <f>SUMIFS(Prices!C:C,Prices!A:A,A32,Prices!B:B,"S001")</f>
        <v>10.99</v>
      </c>
      <c r="D32" s="2">
        <f>SUMIFS(Prices!C:C,Prices!A:A,A32,Prices!B:B,"S002")</f>
        <v>12.9</v>
      </c>
      <c r="E32" s="2" t="str">
        <f t="shared" si="1"/>
        <v>Fry's</v>
      </c>
    </row>
    <row r="33" ht="15.75" customHeight="1">
      <c r="A33" s="2" t="s">
        <v>91</v>
      </c>
      <c r="B33" s="2" t="s">
        <v>92</v>
      </c>
      <c r="C33" s="2">
        <f>SUMIFS(Prices!C:C,Prices!A:A,A33,Prices!B:B,"S001")</f>
        <v>5</v>
      </c>
      <c r="D33" s="2">
        <f>SUMIFS(Prices!C:C,Prices!A:A,A33,Prices!B:B,"S002")</f>
        <v>8.47</v>
      </c>
      <c r="E33" s="2" t="str">
        <f t="shared" si="1"/>
        <v>Fry's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2026-06-03T19:52:28Z</dcterms:created>
  <dc:creator>openpyxl</dc:creator>
</cp:coreProperties>
</file>